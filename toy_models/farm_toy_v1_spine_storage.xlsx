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  <sheet name="Crop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5"/>
    </font>
    <font>
      <b val="1"/>
      <color rgb="001F4E79"/>
      <sz val="12"/>
    </font>
    <font>
      <b val="1"/>
    </font>
    <font>
      <i val="1"/>
      <color rgb="00666666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4" fontId="3" fillId="0" borderId="0" pivotButton="0" quotePrefix="0" xfId="0"/>
    <xf numFmtId="2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166" fontId="0" fillId="3" borderId="1" pivotButton="0" quotePrefix="0" xfId="0"/>
    <xf numFmtId="3" fontId="0" fillId="3" borderId="1" pivotButton="0" quotePrefix="0" xfId="0"/>
    <xf numFmtId="0" fontId="0" fillId="5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5" fillId="6" borderId="0" applyAlignment="1" pivotButton="0" quotePrefix="0" xfId="0">
      <alignment horizontal="center"/>
    </xf>
    <xf numFmtId="3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3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" fontId="3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v1: THE SPINE + STORAGE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 hand-checkable model of the smallest part of the app that you did not build in Excel:</t>
        </is>
      </c>
    </row>
    <row r="5">
      <c r="A5" t="inlineStr">
        <is>
          <t>what you plant becomes what you harvest becomes what you can hold becomes what you sell.</t>
        </is>
      </c>
    </row>
    <row r="6">
      <c r="A6" t="inlineStr">
        <is>
          <t>There is NO solver in this version. You type the acres. Everything else is arithmetic you</t>
        </is>
      </c>
    </row>
    <row r="7">
      <c r="A7" t="inlineStr">
        <is>
          <t>can follow cell by cell.</t>
        </is>
      </c>
    </row>
    <row r="8">
      <c r="A8" t="inlineStr"/>
    </row>
    <row r="9">
      <c r="A9" t="inlineStr">
        <is>
          <t>Three crops, chosen to make one distinction visible: Spinach and Kale are refrigerated</t>
        </is>
      </c>
    </row>
    <row r="10">
      <c r="A10" t="inlineStr">
        <is>
          <t>(the cooler); Garlic is cured and lives in the barn at ambient temperature. They compete</t>
        </is>
      </c>
    </row>
    <row r="11">
      <c r="A11" t="inlineStr">
        <is>
          <t>for two SEPARATE capped spaces, which is why the app has two storage pools.</t>
        </is>
      </c>
    </row>
    <row r="12">
      <c r="A12" t="inlineStr"/>
    </row>
    <row r="13">
      <c r="A13" s="2" t="inlineStr">
        <is>
          <t>HOW TO USE IT</t>
        </is>
      </c>
    </row>
    <row r="14">
      <c r="A14" t="inlineStr">
        <is>
          <t>1. Go to the 'Model' sheet. Every YELLOW cell is an input. Nothing else should be typed in.</t>
        </is>
      </c>
    </row>
    <row r="15">
      <c r="A15" t="inlineStr">
        <is>
          <t>2. Start with the acres in B6:B10. Change one. Watch the whole sheet move.</t>
        </is>
      </c>
    </row>
    <row r="16">
      <c r="A16" t="inlineStr">
        <is>
          <t>3. Watch row 'COLD POOL headroom' and 'AMBIENT POOL headroom'. Red = you have overflowed</t>
        </is>
      </c>
    </row>
    <row r="17">
      <c r="A17" t="inlineStr">
        <is>
          <t xml:space="preserve">   that store in that week. The app would call this plan infeasible.</t>
        </is>
      </c>
    </row>
    <row r="18">
      <c r="A18" t="inlineStr"/>
    </row>
    <row r="19">
      <c r="A19" s="2" t="inlineStr">
        <is>
          <t>THE ONE THING THIS SHEET EXISTS TO SHOW</t>
        </is>
      </c>
    </row>
    <row r="20">
      <c r="A20" t="inlineStr">
        <is>
          <t>Set every crop's 'Sell rate lb/wk' high enough that stock never builds up. Closing inventory</t>
        </is>
      </c>
    </row>
    <row r="21">
      <c r="A21" t="inlineStr">
        <is>
          <t>goes to zero in every week — you are selling everything the week you pick it.</t>
        </is>
      </c>
    </row>
    <row r="22">
      <c r="A22" s="3" t="inlineStr">
        <is>
          <t>Now look at the cold pool. IT IS STILL FULL IN THE HARVEST WEEKS.</t>
        </is>
      </c>
    </row>
    <row r="23">
      <c r="A23" t="inlineStr"/>
    </row>
    <row r="24">
      <c r="A24" t="inlineStr">
        <is>
          <t>That is the whole point of the storage constraint, and it is the thing the app got wrong</t>
        </is>
      </c>
    </row>
    <row r="25">
      <c r="A25" t="inlineStr">
        <is>
          <t>for months. A cooler is sized by what passes THROUGH it, not by what sleeps in it. Field</t>
        </is>
      </c>
    </row>
    <row r="26">
      <c r="A26" t="inlineStr">
        <is>
          <t>heat has to come off spinach within the hour whether it ships Tuesday or Friday. The old</t>
        </is>
      </c>
    </row>
    <row r="27">
      <c r="A27" t="inlineStr">
        <is>
          <t>version measured end-of-week stock, so a farm that sold everything immediately was reported</t>
        </is>
      </c>
    </row>
    <row r="28">
      <c r="A28" t="inlineStr">
        <is>
          <t>as needing NO cooler at all.</t>
        </is>
      </c>
    </row>
    <row r="29">
      <c r="A29" t="inlineStr"/>
    </row>
    <row r="30">
      <c r="A30" t="inlineStr">
        <is>
          <t>The formula that encodes this is on the 'Room occupancy' rows:</t>
        </is>
      </c>
    </row>
    <row r="31">
      <c r="A31" s="3" t="inlineStr">
        <is>
          <t xml:space="preserve">      room this week = (stock you carried in) + (everything you harvest this week)</t>
        </is>
      </c>
    </row>
    <row r="32">
      <c r="A32" t="inlineStr">
        <is>
          <t>...counted BEFORE any of it ships. You size a cooler for the worst Tuesday, not the average.</t>
        </is>
      </c>
    </row>
    <row r="33">
      <c r="A33" t="inlineStr"/>
    </row>
    <row r="34">
      <c r="A34" s="2" t="inlineStr">
        <is>
          <t>WHAT THIS VERSION DOES NOT CARRY</t>
        </is>
      </c>
    </row>
    <row r="35">
      <c r="A35" t="inlineStr">
        <is>
          <t>Stated plainly so you know the edges, and so nothing here is a surprise later:</t>
        </is>
      </c>
    </row>
    <row r="36">
      <c r="A36" t="inlineStr">
        <is>
          <t xml:space="preserve">  - No demand caps. 'Sell rate lb/wk' is a stand-in for the buyer. The real model has</t>
        </is>
      </c>
    </row>
    <row r="37">
      <c r="A37" t="inlineStr">
        <is>
          <t xml:space="preserve">    per-channel weekly AND annual caps, which is layer 2.</t>
        </is>
      </c>
    </row>
    <row r="38">
      <c r="A38" t="inlineStr">
        <is>
          <t xml:space="preserve">  - No prices, costs, revenue or profit. This layer is physical only.</t>
        </is>
      </c>
    </row>
    <row r="39">
      <c r="A39" t="inlineStr">
        <is>
          <t xml:space="preserve">  - No cash, no labour, no water, no crop diversity, no planting/harvest throughput limits.</t>
        </is>
      </c>
    </row>
    <row r="40">
      <c r="A40" t="inlineStr">
        <is>
          <t xml:space="preserve">  - Shelf life is shown as a WARNING, not enforced, and it ignores the decay weighting the</t>
        </is>
      </c>
    </row>
    <row r="41">
      <c r="A41" t="inlineStr">
        <is>
          <t xml:space="preserve">    real constraint applies. See the 'Over shelf life?' rows.</t>
        </is>
      </c>
    </row>
    <row r="42">
      <c r="A42" t="inlineStr">
        <is>
          <t xml:space="preserve">  - The real model DECIDES the acres. Here you type them. That is layer 2 as well.</t>
        </is>
      </c>
    </row>
    <row r="43">
      <c r="A43" t="inlineStr"/>
    </row>
    <row r="44">
      <c r="A44" s="2" t="inlineStr">
        <is>
          <t>WHY 'Sold' USES MIN() - AND WHY THAT IS A FINDING, NOT A SHORTCUT</t>
        </is>
      </c>
    </row>
    <row r="45">
      <c r="A45" t="inlineStr">
        <is>
          <t>The 'Sold' row is MIN(what you have, what you can move). That is fine here because nothing</t>
        </is>
      </c>
    </row>
    <row r="46">
      <c r="A46" t="inlineStr">
        <is>
          <t>is being optimised. But MIN() is NOT LINEAR, so a linear solver cannot use it. This is</t>
        </is>
      </c>
    </row>
    <row r="47">
      <c r="A47" t="inlineStr">
        <is>
          <t>exactly why the real model does not have a 'sold' formula at all: it makes the pounds sold a</t>
        </is>
      </c>
    </row>
    <row r="48">
      <c r="A48" t="inlineStr">
        <is>
          <t>DECISION VARIABLE and bounds it with a constraint instead. When the spreadsheet cannot</t>
        </is>
      </c>
    </row>
    <row r="49">
      <c r="A49" t="inlineStr">
        <is>
          <t>express something, that is usually telling you something true about the solver.</t>
        </is>
      </c>
    </row>
    <row r="50">
      <c r="A50" t="inlineStr"/>
    </row>
    <row r="51">
      <c r="A51" s="2" t="inlineStr">
        <is>
          <t>!! THE SCALE WARNING - READ THIS BEFORE CONCLUDING ANYTHING</t>
        </is>
      </c>
    </row>
    <row r="52">
      <c r="A52" t="inlineStr">
        <is>
          <t>Small models are TIGHT; large ones are LOOSE. This toy has 3 crops and 5 plantings. The</t>
        </is>
      </c>
    </row>
    <row r="53">
      <c r="A53" t="inlineStr">
        <is>
          <t>real farm has 7 crops and 220 acre-plantings. Which constraints BIND, and which crops are</t>
        </is>
      </c>
    </row>
    <row r="54">
      <c r="A54" t="inlineStr">
        <is>
          <t>worth planting, change with scale, and this sheet will get that wrong.</t>
        </is>
      </c>
    </row>
    <row r="55">
      <c r="A55" t="inlineStr"/>
    </row>
    <row r="56">
      <c r="A56" t="inlineStr">
        <is>
          <t>So: this toy teaches MECHANISM - how storage works, what it measures, what it takes away.</t>
        </is>
      </c>
    </row>
    <row r="57">
      <c r="A57" t="inlineStr">
        <is>
          <t>It does NOT tell you which constraint is actually binding on your farm. The app already</t>
        </is>
      </c>
    </row>
    <row r="58">
      <c r="A58" t="inlineStr">
        <is>
          <t>answers that (capacity_series returns used-vs-cap per week for every pool). Any conclusion</t>
        </is>
      </c>
    </row>
    <row r="59">
      <c r="A59" t="inlineStr">
        <is>
          <t>drawn here gets re-measured against the real farm before it becomes a plan item.</t>
        </is>
      </c>
    </row>
    <row r="60">
      <c r="A60" t="inlineStr"/>
    </row>
    <row r="61">
      <c r="A61" s="2" t="inlineStr">
        <is>
          <t>CHECK IT WORKED - the numbers you should see on opening</t>
        </is>
      </c>
    </row>
    <row r="62">
      <c r="A62" t="inlineStr">
        <is>
          <t>With the sheet as shipped (every planting 6 acres, sell rate 1,000,000, shrink 0%):</t>
        </is>
      </c>
    </row>
    <row r="63">
      <c r="A63" s="3" t="inlineStr">
        <is>
          <t xml:space="preserve">     Peak COLD store         66.6 m3  in week 41      (cooler holds 275)</t>
        </is>
      </c>
    </row>
    <row r="64">
      <c r="A64" s="3" t="inlineStr">
        <is>
          <t xml:space="preserve">     Peak AMBIENT store      61.0 m3  in week 30      (barn holds 150)</t>
        </is>
      </c>
    </row>
    <row r="65">
      <c r="A65" s="3" t="inlineStr">
        <is>
          <t xml:space="preserve">     Stock carried out       0 lb in every week, for all three crops</t>
        </is>
      </c>
    </row>
    <row r="66">
      <c r="A66" t="inlineStr">
        <is>
          <t xml:space="preserve">     Spinach 51,000 lb sold | Kale 81,600 lb | Garlic 51,000 lb</t>
        </is>
      </c>
    </row>
    <row r="67">
      <c r="A67" t="inlineStr">
        <is>
          <t>If those match, the sheet is calculating correctly. If they do not, tell me - do not work</t>
        </is>
      </c>
    </row>
    <row r="68">
      <c r="A68" t="inlineStr">
        <is>
          <t>around it. A toy you cannot trust is worse than no toy.</t>
        </is>
      </c>
    </row>
    <row r="69">
      <c r="A69" t="inlineStr"/>
    </row>
    <row r="70">
      <c r="A70" t="inlineStr">
        <is>
          <t>Note the pair in bold: closing stock is ZERO all year, and the cooler is still 66.6 m3 full.</t>
        </is>
      </c>
    </row>
    <row r="71">
      <c r="A71" t="inlineStr"/>
    </row>
    <row r="72">
      <c r="A72" s="2" t="inlineStr">
        <is>
          <t>THREE THINGS TO TRY</t>
        </is>
      </c>
    </row>
    <row r="73">
      <c r="A73" t="inlineStr">
        <is>
          <t>Each one changes ONE input. Change it, look, then put it back.</t>
        </is>
      </c>
    </row>
    <row r="74">
      <c r="A74" t="inlineStr"/>
    </row>
    <row r="75">
      <c r="A75" s="3" t="inlineStr">
        <is>
          <t>EXPERIMENT 1 - overflow the stores.  Set all five acre cells (B6:B10) to 25.</t>
        </is>
      </c>
    </row>
    <row r="76">
      <c r="A76" t="inlineStr">
        <is>
          <t xml:space="preserve">   Expect: peak COLD 277.6 m3 in week 41, red for 1 week. Peak AMBIENT 254.0 m3 in week 30,</t>
        </is>
      </c>
    </row>
    <row r="77">
      <c r="A77" t="inlineStr">
        <is>
          <t xml:space="preserve">   red for 1 week. The app would refuse this plan outright - not warn about it, refuse it.</t>
        </is>
      </c>
    </row>
    <row r="78">
      <c r="A78" t="inlineStr">
        <is>
          <t xml:space="preserve">   Note it takes ~24.8 acres per planting to break the cooler, and the break is in ONE week.</t>
        </is>
      </c>
    </row>
    <row r="79">
      <c r="A79" t="inlineStr">
        <is>
          <t xml:space="preserve">   That is what a capacity constraint feels like: nothing, nothing, nothing, infeasible.</t>
        </is>
      </c>
    </row>
    <row r="80">
      <c r="A80" t="inlineStr"/>
    </row>
    <row r="81">
      <c r="A81" s="3" t="inlineStr">
        <is>
          <t>EXPERIMENT 2 - hold stock, and watch what does NOT happen.  Put acres back to 6.</t>
        </is>
      </c>
    </row>
    <row r="82">
      <c r="A82" s="3" t="inlineStr">
        <is>
          <t xml:space="preserve">   Set Garlic's 'Sell rate lb/wk' (H17) to 2000.</t>
        </is>
      </c>
    </row>
    <row r="83">
      <c r="A83" t="inlineStr">
        <is>
          <t xml:space="preserve">   Expect: Garlic now sells 46,000 lb instead of 51,000, carries 5,000 lb into next year,</t>
        </is>
      </c>
    </row>
    <row r="84">
      <c r="A84" t="inlineStr">
        <is>
          <t xml:space="preserve">   and 'Over shelf life?' reaches 19,000 lb.</t>
        </is>
      </c>
    </row>
    <row r="85">
      <c r="A85" s="3" t="inlineStr">
        <is>
          <t xml:space="preserve">   BUT peak AMBIENT is still 61.0 m3 in week 30 - EXACTLY as before.</t>
        </is>
      </c>
    </row>
    <row r="86">
      <c r="A86" t="inlineStr">
        <is>
          <t xml:space="preserve">   Holding stock for months did not raise the peak by a single cubic metre, because the peak</t>
        </is>
      </c>
    </row>
    <row r="87">
      <c r="A87" t="inlineStr">
        <is>
          <t xml:space="preserve">   is set by the week the harvest lands, not by how long you keep it. This is the same point</t>
        </is>
      </c>
    </row>
    <row r="88">
      <c r="A88" t="inlineStr">
        <is>
          <t xml:space="preserve">   as the opening one, arriving from the other direction: size the barn for harvest day.</t>
        </is>
      </c>
    </row>
    <row r="89">
      <c r="A89" t="inlineStr"/>
    </row>
    <row r="90">
      <c r="A90" s="3" t="inlineStr">
        <is>
          <t>EXPERIMENT 3 - make holding cost something.  Leave sell rate at 2000.</t>
        </is>
      </c>
    </row>
    <row r="91">
      <c r="A91" s="3" t="inlineStr">
        <is>
          <t xml:space="preserve">   Set Garlic's 'Shrink %/wk' (G17) to 2%.</t>
        </is>
      </c>
    </row>
    <row r="92">
      <c r="A92" t="inlineStr">
        <is>
          <t xml:space="preserve">   Expect: Garlic sells 41,474 lb (down 4,526), loses 9,526 lb to shrink, and carries NOTHING</t>
        </is>
      </c>
    </row>
    <row r="93">
      <c r="A93" t="inlineStr">
        <is>
          <t xml:space="preserve">   into next year - the shrink ate the leftovers. 'Over shelf life' falls to 10,047 lb.</t>
        </is>
      </c>
    </row>
    <row r="94">
      <c r="A94" t="inlineStr">
        <is>
          <t xml:space="preserve">   Without shrink, a long shelf life is pure upside and the model would hoard. Shrink is what</t>
        </is>
      </c>
    </row>
    <row r="95">
      <c r="A95" t="inlineStr">
        <is>
          <t xml:space="preserve">   makes storing a real decision with a real cost.</t>
        </is>
      </c>
    </row>
    <row r="96">
      <c r="A96" t="inlineStr"/>
    </row>
    <row r="97">
      <c r="A97" s="2" t="inlineStr">
        <is>
          <t>WHERE THE NUMBERS COME FROM</t>
        </is>
      </c>
    </row>
    <row r="98">
      <c r="A98" t="inlineStr">
        <is>
          <t>Every crop constant and every planting calendar on the Model sheet is READ FROM THE APP by</t>
        </is>
      </c>
    </row>
    <row r="99">
      <c r="A99" t="inlineStr">
        <is>
          <t>toy_models/build_toy_v1.py - the same succession generator the solver uses, and the same</t>
        </is>
      </c>
    </row>
    <row r="100">
      <c r="A100" t="inlineStr">
        <is>
          <t>golden payload the tests pin. Nothing is retyped. See the 'Crop data' sheet for the values</t>
        </is>
      </c>
    </row>
    <row r="101">
      <c r="A101" t="inlineStr">
        <is>
          <t>and their sources. Re-run the generator after any crop-data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6"/>
  <sheetViews>
    <sheetView workbookViewId="0">
      <pane xSplit="2" ySplit="25" topLeftCell="C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  <col width="8.5" customWidth="1" min="47" max="47"/>
    <col width="8.5" customWidth="1" min="48" max="48"/>
    <col width="8.5" customWidth="1" min="49" max="49"/>
    <col width="8.5" customWidth="1" min="50" max="50"/>
    <col width="8.5" customWidth="1" min="51" max="51"/>
    <col width="8.5" customWidth="1" min="52" max="52"/>
    <col width="8.5" customWidth="1" min="53" max="53"/>
    <col width="8.5" customWidth="1" min="54" max="54"/>
  </cols>
  <sheetData>
    <row r="1">
      <c r="A1" s="1" t="inlineStr">
        <is>
          <t>FARM TOY MODEL — v1: the spine + storage</t>
        </is>
      </c>
    </row>
    <row r="2">
      <c r="A2" s="4" t="inlineStr">
        <is>
          <t>Type in the YELLOW cells only. Everything else is a formula. Read the 'READ ME' sheet first.</t>
        </is>
      </c>
    </row>
    <row r="4">
      <c r="A4" s="2" t="inlineStr">
        <is>
          <t>1 — WHAT YOU PLANT   (acres)</t>
        </is>
      </c>
    </row>
    <row r="5">
      <c r="A5" s="5" t="inlineStr">
        <is>
          <t>Succession</t>
        </is>
      </c>
      <c r="B5" s="5" t="inlineStr">
        <is>
          <t>Acres</t>
        </is>
      </c>
      <c r="C5" s="5" t="inlineStr">
        <is>
          <t>Crop</t>
        </is>
      </c>
      <c r="D5" s="5" t="inlineStr">
        <is>
          <t>Harvest weeks</t>
        </is>
      </c>
      <c r="E5" s="5" t="inlineStr">
        <is>
          <t>lb/harvest wk at 1 acre</t>
        </is>
      </c>
    </row>
    <row r="6">
      <c r="A6" s="6" t="inlineStr">
        <is>
          <t>Spinach W10</t>
        </is>
      </c>
      <c r="B6" s="7" t="n">
        <v>6</v>
      </c>
      <c r="C6" s="6" t="inlineStr">
        <is>
          <t>Spinach</t>
        </is>
      </c>
      <c r="D6" s="8" t="inlineStr">
        <is>
          <t>W16, W17</t>
        </is>
      </c>
      <c r="E6" s="9" t="n">
        <v>2125</v>
      </c>
    </row>
    <row r="7">
      <c r="A7" s="6" t="inlineStr">
        <is>
          <t>Spinach W34</t>
        </is>
      </c>
      <c r="B7" s="7" t="n">
        <v>6</v>
      </c>
      <c r="C7" s="6" t="inlineStr">
        <is>
          <t>Spinach</t>
        </is>
      </c>
      <c r="D7" s="8" t="inlineStr">
        <is>
          <t>W40, W41</t>
        </is>
      </c>
      <c r="E7" s="9" t="n">
        <v>2125</v>
      </c>
    </row>
    <row r="8">
      <c r="A8" s="6" t="inlineStr">
        <is>
          <t>Kale W12</t>
        </is>
      </c>
      <c r="B8" s="7" t="n">
        <v>6</v>
      </c>
      <c r="C8" s="6" t="inlineStr">
        <is>
          <t>Kale</t>
        </is>
      </c>
      <c r="D8" s="8" t="inlineStr">
        <is>
          <t>W21, W22, W23, W24</t>
        </is>
      </c>
      <c r="E8" s="9" t="n">
        <v>1700</v>
      </c>
    </row>
    <row r="9">
      <c r="A9" s="6" t="inlineStr">
        <is>
          <t>Kale W32</t>
        </is>
      </c>
      <c r="B9" s="7" t="n">
        <v>6</v>
      </c>
      <c r="C9" s="6" t="inlineStr">
        <is>
          <t>Kale</t>
        </is>
      </c>
      <c r="D9" s="8" t="inlineStr">
        <is>
          <t>W41, W42, W43, W44</t>
        </is>
      </c>
      <c r="E9" s="9" t="n">
        <v>1700</v>
      </c>
    </row>
    <row r="10">
      <c r="A10" s="6" t="inlineStr">
        <is>
          <t>Garlic W47</t>
        </is>
      </c>
      <c r="B10" s="7" t="n">
        <v>6</v>
      </c>
      <c r="C10" s="6" t="inlineStr">
        <is>
          <t>Garlic</t>
        </is>
      </c>
      <c r="D10" s="8" t="inlineStr">
        <is>
          <t>W30</t>
        </is>
      </c>
      <c r="E10" s="9" t="n">
        <v>8500</v>
      </c>
    </row>
    <row r="11">
      <c r="A11" s="3" t="inlineStr">
        <is>
          <t>Total acres planted</t>
        </is>
      </c>
      <c r="B11" s="10">
        <f>SUM(B6:B10)</f>
        <v/>
      </c>
      <c r="C11" s="4" t="inlineStr">
        <is>
          <t>of 80 acres of ground</t>
        </is>
      </c>
    </row>
    <row r="13">
      <c r="A13" s="2" t="inlineStr">
        <is>
          <t>2 — HOW EACH CROP BEHAVES</t>
        </is>
      </c>
    </row>
    <row r="14">
      <c r="A14" s="5" t="inlineStr">
        <is>
          <t>Crop</t>
        </is>
      </c>
      <c r="B14" s="5" t="inlineStr">
        <is>
          <t>Yield lb/acre</t>
        </is>
      </c>
      <c r="C14" s="5" t="inlineStr">
        <is>
          <t>Sell-through</t>
        </is>
      </c>
      <c r="D14" s="5" t="inlineStr">
        <is>
          <t>m3 per lb</t>
        </is>
      </c>
      <c r="E14" s="5" t="inlineStr">
        <is>
          <t>Store</t>
        </is>
      </c>
      <c r="F14" s="5" t="inlineStr">
        <is>
          <t>Shelf life wk</t>
        </is>
      </c>
      <c r="G14" s="5" t="inlineStr">
        <is>
          <t>Shrink %/wk</t>
        </is>
      </c>
      <c r="H14" s="5" t="inlineStr">
        <is>
          <t>Sell rate lb/wk</t>
        </is>
      </c>
    </row>
    <row r="15">
      <c r="A15" s="6" t="inlineStr">
        <is>
          <t>Spinach</t>
        </is>
      </c>
      <c r="B15" s="9" t="n">
        <v>5000</v>
      </c>
      <c r="C15" s="11" t="n">
        <v>0.85</v>
      </c>
      <c r="D15" s="12" t="n">
        <v>0.002197967741935484</v>
      </c>
      <c r="E15" s="13" t="inlineStr">
        <is>
          <t>Cold</t>
        </is>
      </c>
      <c r="F15" s="14" t="n">
        <v>2</v>
      </c>
      <c r="G15" s="15" t="n">
        <v>0</v>
      </c>
      <c r="H15" s="16" t="n">
        <v>1000000</v>
      </c>
    </row>
    <row r="16">
      <c r="A16" s="6" t="inlineStr">
        <is>
          <t>Kale</t>
        </is>
      </c>
      <c r="B16" s="9" t="n">
        <v>8000</v>
      </c>
      <c r="C16" s="11" t="n">
        <v>0.85</v>
      </c>
      <c r="D16" s="12" t="n">
        <v>0.003785388888888889</v>
      </c>
      <c r="E16" s="13" t="inlineStr">
        <is>
          <t>Cold</t>
        </is>
      </c>
      <c r="F16" s="14" t="n">
        <v>2</v>
      </c>
      <c r="G16" s="15" t="n">
        <v>0</v>
      </c>
      <c r="H16" s="16" t="n">
        <v>1000000</v>
      </c>
    </row>
    <row r="17">
      <c r="A17" s="6" t="inlineStr">
        <is>
          <t>Garlic</t>
        </is>
      </c>
      <c r="B17" s="9" t="n">
        <v>10000</v>
      </c>
      <c r="C17" s="11" t="n">
        <v>0.85</v>
      </c>
      <c r="D17" s="12" t="n">
        <v>0.001195385964912281</v>
      </c>
      <c r="E17" s="17" t="inlineStr">
        <is>
          <t>Ambient</t>
        </is>
      </c>
      <c r="F17" s="14" t="n">
        <v>16</v>
      </c>
      <c r="G17" s="15" t="n">
        <v>0</v>
      </c>
      <c r="H17" s="16" t="n">
        <v>1000000</v>
      </c>
    </row>
    <row r="18">
      <c r="A18" s="4" t="inlineStr">
        <is>
          <t>Shrink is weight lost in store each week. Sell rate stands in for the buyer (layer 2 makes it real).</t>
        </is>
      </c>
    </row>
    <row r="20">
      <c r="A20" s="2" t="inlineStr">
        <is>
          <t>3 — WHAT YOU CAN STORE</t>
        </is>
      </c>
    </row>
    <row r="21">
      <c r="A21" s="6" t="inlineStr">
        <is>
          <t>Cold store (cooler) capacity</t>
        </is>
      </c>
      <c r="B21" s="16" t="n">
        <v>275</v>
      </c>
      <c r="C21" s="4" t="inlineStr">
        <is>
          <t>m3   — Spinach, Kale</t>
        </is>
      </c>
    </row>
    <row r="22">
      <c r="A22" s="6" t="inlineStr">
        <is>
          <t>Ambient store (barn) capacity</t>
        </is>
      </c>
      <c r="B22" s="16" t="n">
        <v>150</v>
      </c>
      <c r="C22" s="4" t="inlineStr">
        <is>
          <t>m3   — Garlic (cured; the cooler would damage it)</t>
        </is>
      </c>
    </row>
    <row r="24">
      <c r="A24" s="2" t="inlineStr">
        <is>
          <t>4 — THE YEAR, WEEK BY WEEK</t>
        </is>
      </c>
    </row>
    <row r="25">
      <c r="A25" s="18" t="inlineStr">
        <is>
          <t>Week</t>
        </is>
      </c>
      <c r="B25" s="19" t="inlineStr"/>
      <c r="C25" s="20" t="n">
        <v>1</v>
      </c>
      <c r="D25" s="20" t="n">
        <v>2</v>
      </c>
      <c r="E25" s="20" t="n">
        <v>3</v>
      </c>
      <c r="F25" s="20" t="n">
        <v>4</v>
      </c>
      <c r="G25" s="20" t="n">
        <v>5</v>
      </c>
      <c r="H25" s="20" t="n">
        <v>6</v>
      </c>
      <c r="I25" s="20" t="n">
        <v>7</v>
      </c>
      <c r="J25" s="20" t="n">
        <v>8</v>
      </c>
      <c r="K25" s="20" t="n">
        <v>9</v>
      </c>
      <c r="L25" s="20" t="n">
        <v>10</v>
      </c>
      <c r="M25" s="20" t="n">
        <v>11</v>
      </c>
      <c r="N25" s="20" t="n">
        <v>12</v>
      </c>
      <c r="O25" s="20" t="n">
        <v>13</v>
      </c>
      <c r="P25" s="20" t="n">
        <v>14</v>
      </c>
      <c r="Q25" s="20" t="n">
        <v>15</v>
      </c>
      <c r="R25" s="20" t="n">
        <v>16</v>
      </c>
      <c r="S25" s="20" t="n">
        <v>17</v>
      </c>
      <c r="T25" s="20" t="n">
        <v>18</v>
      </c>
      <c r="U25" s="20" t="n">
        <v>19</v>
      </c>
      <c r="V25" s="20" t="n">
        <v>20</v>
      </c>
      <c r="W25" s="20" t="n">
        <v>21</v>
      </c>
      <c r="X25" s="20" t="n">
        <v>22</v>
      </c>
      <c r="Y25" s="20" t="n">
        <v>23</v>
      </c>
      <c r="Z25" s="20" t="n">
        <v>24</v>
      </c>
      <c r="AA25" s="20" t="n">
        <v>25</v>
      </c>
      <c r="AB25" s="20" t="n">
        <v>26</v>
      </c>
      <c r="AC25" s="20" t="n">
        <v>27</v>
      </c>
      <c r="AD25" s="20" t="n">
        <v>28</v>
      </c>
      <c r="AE25" s="20" t="n">
        <v>29</v>
      </c>
      <c r="AF25" s="20" t="n">
        <v>30</v>
      </c>
      <c r="AG25" s="20" t="n">
        <v>31</v>
      </c>
      <c r="AH25" s="20" t="n">
        <v>32</v>
      </c>
      <c r="AI25" s="20" t="n">
        <v>33</v>
      </c>
      <c r="AJ25" s="20" t="n">
        <v>34</v>
      </c>
      <c r="AK25" s="20" t="n">
        <v>35</v>
      </c>
      <c r="AL25" s="20" t="n">
        <v>36</v>
      </c>
      <c r="AM25" s="20" t="n">
        <v>37</v>
      </c>
      <c r="AN25" s="20" t="n">
        <v>38</v>
      </c>
      <c r="AO25" s="20" t="n">
        <v>39</v>
      </c>
      <c r="AP25" s="20" t="n">
        <v>40</v>
      </c>
      <c r="AQ25" s="20" t="n">
        <v>41</v>
      </c>
      <c r="AR25" s="20" t="n">
        <v>42</v>
      </c>
      <c r="AS25" s="20" t="n">
        <v>43</v>
      </c>
      <c r="AT25" s="20" t="n">
        <v>44</v>
      </c>
      <c r="AU25" s="20" t="n">
        <v>45</v>
      </c>
      <c r="AV25" s="20" t="n">
        <v>46</v>
      </c>
      <c r="AW25" s="20" t="n">
        <v>47</v>
      </c>
      <c r="AX25" s="20" t="n">
        <v>48</v>
      </c>
      <c r="AY25" s="20" t="n">
        <v>49</v>
      </c>
      <c r="AZ25" s="20" t="n">
        <v>50</v>
      </c>
      <c r="BA25" s="20" t="n">
        <v>51</v>
      </c>
      <c r="BB25" s="20" t="n">
        <v>52</v>
      </c>
    </row>
    <row r="26">
      <c r="A26" s="3" t="inlineStr">
        <is>
          <t>PLANTING CALENDAR</t>
        </is>
      </c>
    </row>
    <row r="27">
      <c r="A27" s="21" t="inlineStr">
        <is>
          <t>Spinach W10</t>
        </is>
      </c>
      <c r="B27" s="4" t="inlineStr">
        <is>
          <t>P/G/H</t>
        </is>
      </c>
      <c r="L27" s="22" t="inlineStr">
        <is>
          <t>P</t>
        </is>
      </c>
      <c r="M27" s="22" t="inlineStr">
        <is>
          <t>G</t>
        </is>
      </c>
      <c r="N27" s="22" t="inlineStr">
        <is>
          <t>G</t>
        </is>
      </c>
      <c r="O27" s="22" t="inlineStr">
        <is>
          <t>G</t>
        </is>
      </c>
      <c r="P27" s="22" t="inlineStr">
        <is>
          <t>G</t>
        </is>
      </c>
      <c r="Q27" s="22" t="inlineStr">
        <is>
          <t>G</t>
        </is>
      </c>
      <c r="R27" s="22" t="inlineStr">
        <is>
          <t>H</t>
        </is>
      </c>
      <c r="S27" s="22" t="inlineStr">
        <is>
          <t>H</t>
        </is>
      </c>
    </row>
    <row r="28">
      <c r="A28" s="21" t="inlineStr">
        <is>
          <t xml:space="preserve">   lbs harvested (sellable)</t>
        </is>
      </c>
      <c r="B28" s="4" t="inlineStr">
        <is>
          <t>lb</t>
        </is>
      </c>
      <c r="C28" s="23">
        <f>IF(C27="H",$B$6*$B$15*$C$15/2,0)</f>
        <v/>
      </c>
      <c r="D28" s="23">
        <f>IF(D27="H",$B$6*$B$15*$C$15/2,0)</f>
        <v/>
      </c>
      <c r="E28" s="23">
        <f>IF(E27="H",$B$6*$B$15*$C$15/2,0)</f>
        <v/>
      </c>
      <c r="F28" s="23">
        <f>IF(F27="H",$B$6*$B$15*$C$15/2,0)</f>
        <v/>
      </c>
      <c r="G28" s="23">
        <f>IF(G27="H",$B$6*$B$15*$C$15/2,0)</f>
        <v/>
      </c>
      <c r="H28" s="23">
        <f>IF(H27="H",$B$6*$B$15*$C$15/2,0)</f>
        <v/>
      </c>
      <c r="I28" s="23">
        <f>IF(I27="H",$B$6*$B$15*$C$15/2,0)</f>
        <v/>
      </c>
      <c r="J28" s="23">
        <f>IF(J27="H",$B$6*$B$15*$C$15/2,0)</f>
        <v/>
      </c>
      <c r="K28" s="23">
        <f>IF(K27="H",$B$6*$B$15*$C$15/2,0)</f>
        <v/>
      </c>
      <c r="L28" s="23">
        <f>IF(L27="H",$B$6*$B$15*$C$15/2,0)</f>
        <v/>
      </c>
      <c r="M28" s="23">
        <f>IF(M27="H",$B$6*$B$15*$C$15/2,0)</f>
        <v/>
      </c>
      <c r="N28" s="23">
        <f>IF(N27="H",$B$6*$B$15*$C$15/2,0)</f>
        <v/>
      </c>
      <c r="O28" s="23">
        <f>IF(O27="H",$B$6*$B$15*$C$15/2,0)</f>
        <v/>
      </c>
      <c r="P28" s="23">
        <f>IF(P27="H",$B$6*$B$15*$C$15/2,0)</f>
        <v/>
      </c>
      <c r="Q28" s="23">
        <f>IF(Q27="H",$B$6*$B$15*$C$15/2,0)</f>
        <v/>
      </c>
      <c r="R28" s="23">
        <f>IF(R27="H",$B$6*$B$15*$C$15/2,0)</f>
        <v/>
      </c>
      <c r="S28" s="23">
        <f>IF(S27="H",$B$6*$B$15*$C$15/2,0)</f>
        <v/>
      </c>
      <c r="T28" s="23">
        <f>IF(T27="H",$B$6*$B$15*$C$15/2,0)</f>
        <v/>
      </c>
      <c r="U28" s="23">
        <f>IF(U27="H",$B$6*$B$15*$C$15/2,0)</f>
        <v/>
      </c>
      <c r="V28" s="23">
        <f>IF(V27="H",$B$6*$B$15*$C$15/2,0)</f>
        <v/>
      </c>
      <c r="W28" s="23">
        <f>IF(W27="H",$B$6*$B$15*$C$15/2,0)</f>
        <v/>
      </c>
      <c r="X28" s="23">
        <f>IF(X27="H",$B$6*$B$15*$C$15/2,0)</f>
        <v/>
      </c>
      <c r="Y28" s="23">
        <f>IF(Y27="H",$B$6*$B$15*$C$15/2,0)</f>
        <v/>
      </c>
      <c r="Z28" s="23">
        <f>IF(Z27="H",$B$6*$B$15*$C$15/2,0)</f>
        <v/>
      </c>
      <c r="AA28" s="23">
        <f>IF(AA27="H",$B$6*$B$15*$C$15/2,0)</f>
        <v/>
      </c>
      <c r="AB28" s="23">
        <f>IF(AB27="H",$B$6*$B$15*$C$15/2,0)</f>
        <v/>
      </c>
      <c r="AC28" s="23">
        <f>IF(AC27="H",$B$6*$B$15*$C$15/2,0)</f>
        <v/>
      </c>
      <c r="AD28" s="23">
        <f>IF(AD27="H",$B$6*$B$15*$C$15/2,0)</f>
        <v/>
      </c>
      <c r="AE28" s="23">
        <f>IF(AE27="H",$B$6*$B$15*$C$15/2,0)</f>
        <v/>
      </c>
      <c r="AF28" s="23">
        <f>IF(AF27="H",$B$6*$B$15*$C$15/2,0)</f>
        <v/>
      </c>
      <c r="AG28" s="23">
        <f>IF(AG27="H",$B$6*$B$15*$C$15/2,0)</f>
        <v/>
      </c>
      <c r="AH28" s="23">
        <f>IF(AH27="H",$B$6*$B$15*$C$15/2,0)</f>
        <v/>
      </c>
      <c r="AI28" s="23">
        <f>IF(AI27="H",$B$6*$B$15*$C$15/2,0)</f>
        <v/>
      </c>
      <c r="AJ28" s="23">
        <f>IF(AJ27="H",$B$6*$B$15*$C$15/2,0)</f>
        <v/>
      </c>
      <c r="AK28" s="23">
        <f>IF(AK27="H",$B$6*$B$15*$C$15/2,0)</f>
        <v/>
      </c>
      <c r="AL28" s="23">
        <f>IF(AL27="H",$B$6*$B$15*$C$15/2,0)</f>
        <v/>
      </c>
      <c r="AM28" s="23">
        <f>IF(AM27="H",$B$6*$B$15*$C$15/2,0)</f>
        <v/>
      </c>
      <c r="AN28" s="23">
        <f>IF(AN27="H",$B$6*$B$15*$C$15/2,0)</f>
        <v/>
      </c>
      <c r="AO28" s="23">
        <f>IF(AO27="H",$B$6*$B$15*$C$15/2,0)</f>
        <v/>
      </c>
      <c r="AP28" s="23">
        <f>IF(AP27="H",$B$6*$B$15*$C$15/2,0)</f>
        <v/>
      </c>
      <c r="AQ28" s="23">
        <f>IF(AQ27="H",$B$6*$B$15*$C$15/2,0)</f>
        <v/>
      </c>
      <c r="AR28" s="23">
        <f>IF(AR27="H",$B$6*$B$15*$C$15/2,0)</f>
        <v/>
      </c>
      <c r="AS28" s="23">
        <f>IF(AS27="H",$B$6*$B$15*$C$15/2,0)</f>
        <v/>
      </c>
      <c r="AT28" s="23">
        <f>IF(AT27="H",$B$6*$B$15*$C$15/2,0)</f>
        <v/>
      </c>
      <c r="AU28" s="23">
        <f>IF(AU27="H",$B$6*$B$15*$C$15/2,0)</f>
        <v/>
      </c>
      <c r="AV28" s="23">
        <f>IF(AV27="H",$B$6*$B$15*$C$15/2,0)</f>
        <v/>
      </c>
      <c r="AW28" s="23">
        <f>IF(AW27="H",$B$6*$B$15*$C$15/2,0)</f>
        <v/>
      </c>
      <c r="AX28" s="23">
        <f>IF(AX27="H",$B$6*$B$15*$C$15/2,0)</f>
        <v/>
      </c>
      <c r="AY28" s="23">
        <f>IF(AY27="H",$B$6*$B$15*$C$15/2,0)</f>
        <v/>
      </c>
      <c r="AZ28" s="23">
        <f>IF(AZ27="H",$B$6*$B$15*$C$15/2,0)</f>
        <v/>
      </c>
      <c r="BA28" s="23">
        <f>IF(BA27="H",$B$6*$B$15*$C$15/2,0)</f>
        <v/>
      </c>
      <c r="BB28" s="23">
        <f>IF(BB27="H",$B$6*$B$15*$C$15/2,0)</f>
        <v/>
      </c>
    </row>
    <row r="29">
      <c r="A29" s="21" t="inlineStr">
        <is>
          <t>Spinach W34</t>
        </is>
      </c>
      <c r="B29" s="4" t="inlineStr">
        <is>
          <t>P/G/H</t>
        </is>
      </c>
      <c r="AJ29" s="22" t="inlineStr">
        <is>
          <t>P</t>
        </is>
      </c>
      <c r="AK29" s="22" t="inlineStr">
        <is>
          <t>G</t>
        </is>
      </c>
      <c r="AL29" s="22" t="inlineStr">
        <is>
          <t>G</t>
        </is>
      </c>
      <c r="AM29" s="22" t="inlineStr">
        <is>
          <t>G</t>
        </is>
      </c>
      <c r="AN29" s="22" t="inlineStr">
        <is>
          <t>G</t>
        </is>
      </c>
      <c r="AO29" s="22" t="inlineStr">
        <is>
          <t>G</t>
        </is>
      </c>
      <c r="AP29" s="22" t="inlineStr">
        <is>
          <t>H</t>
        </is>
      </c>
      <c r="AQ29" s="22" t="inlineStr">
        <is>
          <t>H</t>
        </is>
      </c>
    </row>
    <row r="30">
      <c r="A30" s="21" t="inlineStr">
        <is>
          <t xml:space="preserve">   lbs harvested (sellable)</t>
        </is>
      </c>
      <c r="B30" s="4" t="inlineStr">
        <is>
          <t>lb</t>
        </is>
      </c>
      <c r="C30" s="23">
        <f>IF(C29="H",$B$7*$B$15*$C$15/2,0)</f>
        <v/>
      </c>
      <c r="D30" s="23">
        <f>IF(D29="H",$B$7*$B$15*$C$15/2,0)</f>
        <v/>
      </c>
      <c r="E30" s="23">
        <f>IF(E29="H",$B$7*$B$15*$C$15/2,0)</f>
        <v/>
      </c>
      <c r="F30" s="23">
        <f>IF(F29="H",$B$7*$B$15*$C$15/2,0)</f>
        <v/>
      </c>
      <c r="G30" s="23">
        <f>IF(G29="H",$B$7*$B$15*$C$15/2,0)</f>
        <v/>
      </c>
      <c r="H30" s="23">
        <f>IF(H29="H",$B$7*$B$15*$C$15/2,0)</f>
        <v/>
      </c>
      <c r="I30" s="23">
        <f>IF(I29="H",$B$7*$B$15*$C$15/2,0)</f>
        <v/>
      </c>
      <c r="J30" s="23">
        <f>IF(J29="H",$B$7*$B$15*$C$15/2,0)</f>
        <v/>
      </c>
      <c r="K30" s="23">
        <f>IF(K29="H",$B$7*$B$15*$C$15/2,0)</f>
        <v/>
      </c>
      <c r="L30" s="23">
        <f>IF(L29="H",$B$7*$B$15*$C$15/2,0)</f>
        <v/>
      </c>
      <c r="M30" s="23">
        <f>IF(M29="H",$B$7*$B$15*$C$15/2,0)</f>
        <v/>
      </c>
      <c r="N30" s="23">
        <f>IF(N29="H",$B$7*$B$15*$C$15/2,0)</f>
        <v/>
      </c>
      <c r="O30" s="23">
        <f>IF(O29="H",$B$7*$B$15*$C$15/2,0)</f>
        <v/>
      </c>
      <c r="P30" s="23">
        <f>IF(P29="H",$B$7*$B$15*$C$15/2,0)</f>
        <v/>
      </c>
      <c r="Q30" s="23">
        <f>IF(Q29="H",$B$7*$B$15*$C$15/2,0)</f>
        <v/>
      </c>
      <c r="R30" s="23">
        <f>IF(R29="H",$B$7*$B$15*$C$15/2,0)</f>
        <v/>
      </c>
      <c r="S30" s="23">
        <f>IF(S29="H",$B$7*$B$15*$C$15/2,0)</f>
        <v/>
      </c>
      <c r="T30" s="23">
        <f>IF(T29="H",$B$7*$B$15*$C$15/2,0)</f>
        <v/>
      </c>
      <c r="U30" s="23">
        <f>IF(U29="H",$B$7*$B$15*$C$15/2,0)</f>
        <v/>
      </c>
      <c r="V30" s="23">
        <f>IF(V29="H",$B$7*$B$15*$C$15/2,0)</f>
        <v/>
      </c>
      <c r="W30" s="23">
        <f>IF(W29="H",$B$7*$B$15*$C$15/2,0)</f>
        <v/>
      </c>
      <c r="X30" s="23">
        <f>IF(X29="H",$B$7*$B$15*$C$15/2,0)</f>
        <v/>
      </c>
      <c r="Y30" s="23">
        <f>IF(Y29="H",$B$7*$B$15*$C$15/2,0)</f>
        <v/>
      </c>
      <c r="Z30" s="23">
        <f>IF(Z29="H",$B$7*$B$15*$C$15/2,0)</f>
        <v/>
      </c>
      <c r="AA30" s="23">
        <f>IF(AA29="H",$B$7*$B$15*$C$15/2,0)</f>
        <v/>
      </c>
      <c r="AB30" s="23">
        <f>IF(AB29="H",$B$7*$B$15*$C$15/2,0)</f>
        <v/>
      </c>
      <c r="AC30" s="23">
        <f>IF(AC29="H",$B$7*$B$15*$C$15/2,0)</f>
        <v/>
      </c>
      <c r="AD30" s="23">
        <f>IF(AD29="H",$B$7*$B$15*$C$15/2,0)</f>
        <v/>
      </c>
      <c r="AE30" s="23">
        <f>IF(AE29="H",$B$7*$B$15*$C$15/2,0)</f>
        <v/>
      </c>
      <c r="AF30" s="23">
        <f>IF(AF29="H",$B$7*$B$15*$C$15/2,0)</f>
        <v/>
      </c>
      <c r="AG30" s="23">
        <f>IF(AG29="H",$B$7*$B$15*$C$15/2,0)</f>
        <v/>
      </c>
      <c r="AH30" s="23">
        <f>IF(AH29="H",$B$7*$B$15*$C$15/2,0)</f>
        <v/>
      </c>
      <c r="AI30" s="23">
        <f>IF(AI29="H",$B$7*$B$15*$C$15/2,0)</f>
        <v/>
      </c>
      <c r="AJ30" s="23">
        <f>IF(AJ29="H",$B$7*$B$15*$C$15/2,0)</f>
        <v/>
      </c>
      <c r="AK30" s="23">
        <f>IF(AK29="H",$B$7*$B$15*$C$15/2,0)</f>
        <v/>
      </c>
      <c r="AL30" s="23">
        <f>IF(AL29="H",$B$7*$B$15*$C$15/2,0)</f>
        <v/>
      </c>
      <c r="AM30" s="23">
        <f>IF(AM29="H",$B$7*$B$15*$C$15/2,0)</f>
        <v/>
      </c>
      <c r="AN30" s="23">
        <f>IF(AN29="H",$B$7*$B$15*$C$15/2,0)</f>
        <v/>
      </c>
      <c r="AO30" s="23">
        <f>IF(AO29="H",$B$7*$B$15*$C$15/2,0)</f>
        <v/>
      </c>
      <c r="AP30" s="23">
        <f>IF(AP29="H",$B$7*$B$15*$C$15/2,0)</f>
        <v/>
      </c>
      <c r="AQ30" s="23">
        <f>IF(AQ29="H",$B$7*$B$15*$C$15/2,0)</f>
        <v/>
      </c>
      <c r="AR30" s="23">
        <f>IF(AR29="H",$B$7*$B$15*$C$15/2,0)</f>
        <v/>
      </c>
      <c r="AS30" s="23">
        <f>IF(AS29="H",$B$7*$B$15*$C$15/2,0)</f>
        <v/>
      </c>
      <c r="AT30" s="23">
        <f>IF(AT29="H",$B$7*$B$15*$C$15/2,0)</f>
        <v/>
      </c>
      <c r="AU30" s="23">
        <f>IF(AU29="H",$B$7*$B$15*$C$15/2,0)</f>
        <v/>
      </c>
      <c r="AV30" s="23">
        <f>IF(AV29="H",$B$7*$B$15*$C$15/2,0)</f>
        <v/>
      </c>
      <c r="AW30" s="23">
        <f>IF(AW29="H",$B$7*$B$15*$C$15/2,0)</f>
        <v/>
      </c>
      <c r="AX30" s="23">
        <f>IF(AX29="H",$B$7*$B$15*$C$15/2,0)</f>
        <v/>
      </c>
      <c r="AY30" s="23">
        <f>IF(AY29="H",$B$7*$B$15*$C$15/2,0)</f>
        <v/>
      </c>
      <c r="AZ30" s="23">
        <f>IF(AZ29="H",$B$7*$B$15*$C$15/2,0)</f>
        <v/>
      </c>
      <c r="BA30" s="23">
        <f>IF(BA29="H",$B$7*$B$15*$C$15/2,0)</f>
        <v/>
      </c>
      <c r="BB30" s="23">
        <f>IF(BB29="H",$B$7*$B$15*$C$15/2,0)</f>
        <v/>
      </c>
    </row>
    <row r="31">
      <c r="A31" s="21" t="inlineStr">
        <is>
          <t>Kale W12</t>
        </is>
      </c>
      <c r="B31" s="4" t="inlineStr">
        <is>
          <t>P/G/H</t>
        </is>
      </c>
      <c r="N31" s="22" t="inlineStr">
        <is>
          <t>P</t>
        </is>
      </c>
      <c r="O31" s="22" t="inlineStr">
        <is>
          <t>G</t>
        </is>
      </c>
      <c r="P31" s="22" t="inlineStr">
        <is>
          <t>G</t>
        </is>
      </c>
      <c r="Q31" s="22" t="inlineStr">
        <is>
          <t>G</t>
        </is>
      </c>
      <c r="R31" s="22" t="inlineStr">
        <is>
          <t>G</t>
        </is>
      </c>
      <c r="S31" s="22" t="inlineStr">
        <is>
          <t>G</t>
        </is>
      </c>
      <c r="T31" s="22" t="inlineStr">
        <is>
          <t>G</t>
        </is>
      </c>
      <c r="U31" s="22" t="inlineStr">
        <is>
          <t>G</t>
        </is>
      </c>
      <c r="V31" s="22" t="inlineStr">
        <is>
          <t>G</t>
        </is>
      </c>
      <c r="W31" s="22" t="inlineStr">
        <is>
          <t>H</t>
        </is>
      </c>
      <c r="X31" s="22" t="inlineStr">
        <is>
          <t>H</t>
        </is>
      </c>
      <c r="Y31" s="22" t="inlineStr">
        <is>
          <t>H</t>
        </is>
      </c>
      <c r="Z31" s="22" t="inlineStr">
        <is>
          <t>H</t>
        </is>
      </c>
    </row>
    <row r="32">
      <c r="A32" s="21" t="inlineStr">
        <is>
          <t xml:space="preserve">   lbs harvested (sellable)</t>
        </is>
      </c>
      <c r="B32" s="4" t="inlineStr">
        <is>
          <t>lb</t>
        </is>
      </c>
      <c r="C32" s="23">
        <f>IF(C31="H",$B$8*$B$16*$C$16/4,0)</f>
        <v/>
      </c>
      <c r="D32" s="23">
        <f>IF(D31="H",$B$8*$B$16*$C$16/4,0)</f>
        <v/>
      </c>
      <c r="E32" s="23">
        <f>IF(E31="H",$B$8*$B$16*$C$16/4,0)</f>
        <v/>
      </c>
      <c r="F32" s="23">
        <f>IF(F31="H",$B$8*$B$16*$C$16/4,0)</f>
        <v/>
      </c>
      <c r="G32" s="23">
        <f>IF(G31="H",$B$8*$B$16*$C$16/4,0)</f>
        <v/>
      </c>
      <c r="H32" s="23">
        <f>IF(H31="H",$B$8*$B$16*$C$16/4,0)</f>
        <v/>
      </c>
      <c r="I32" s="23">
        <f>IF(I31="H",$B$8*$B$16*$C$16/4,0)</f>
        <v/>
      </c>
      <c r="J32" s="23">
        <f>IF(J31="H",$B$8*$B$16*$C$16/4,0)</f>
        <v/>
      </c>
      <c r="K32" s="23">
        <f>IF(K31="H",$B$8*$B$16*$C$16/4,0)</f>
        <v/>
      </c>
      <c r="L32" s="23">
        <f>IF(L31="H",$B$8*$B$16*$C$16/4,0)</f>
        <v/>
      </c>
      <c r="M32" s="23">
        <f>IF(M31="H",$B$8*$B$16*$C$16/4,0)</f>
        <v/>
      </c>
      <c r="N32" s="23">
        <f>IF(N31="H",$B$8*$B$16*$C$16/4,0)</f>
        <v/>
      </c>
      <c r="O32" s="23">
        <f>IF(O31="H",$B$8*$B$16*$C$16/4,0)</f>
        <v/>
      </c>
      <c r="P32" s="23">
        <f>IF(P31="H",$B$8*$B$16*$C$16/4,0)</f>
        <v/>
      </c>
      <c r="Q32" s="23">
        <f>IF(Q31="H",$B$8*$B$16*$C$16/4,0)</f>
        <v/>
      </c>
      <c r="R32" s="23">
        <f>IF(R31="H",$B$8*$B$16*$C$16/4,0)</f>
        <v/>
      </c>
      <c r="S32" s="23">
        <f>IF(S31="H",$B$8*$B$16*$C$16/4,0)</f>
        <v/>
      </c>
      <c r="T32" s="23">
        <f>IF(T31="H",$B$8*$B$16*$C$16/4,0)</f>
        <v/>
      </c>
      <c r="U32" s="23">
        <f>IF(U31="H",$B$8*$B$16*$C$16/4,0)</f>
        <v/>
      </c>
      <c r="V32" s="23">
        <f>IF(V31="H",$B$8*$B$16*$C$16/4,0)</f>
        <v/>
      </c>
      <c r="W32" s="23">
        <f>IF(W31="H",$B$8*$B$16*$C$16/4,0)</f>
        <v/>
      </c>
      <c r="X32" s="23">
        <f>IF(X31="H",$B$8*$B$16*$C$16/4,0)</f>
        <v/>
      </c>
      <c r="Y32" s="23">
        <f>IF(Y31="H",$B$8*$B$16*$C$16/4,0)</f>
        <v/>
      </c>
      <c r="Z32" s="23">
        <f>IF(Z31="H",$B$8*$B$16*$C$16/4,0)</f>
        <v/>
      </c>
      <c r="AA32" s="23">
        <f>IF(AA31="H",$B$8*$B$16*$C$16/4,0)</f>
        <v/>
      </c>
      <c r="AB32" s="23">
        <f>IF(AB31="H",$B$8*$B$16*$C$16/4,0)</f>
        <v/>
      </c>
      <c r="AC32" s="23">
        <f>IF(AC31="H",$B$8*$B$16*$C$16/4,0)</f>
        <v/>
      </c>
      <c r="AD32" s="23">
        <f>IF(AD31="H",$B$8*$B$16*$C$16/4,0)</f>
        <v/>
      </c>
      <c r="AE32" s="23">
        <f>IF(AE31="H",$B$8*$B$16*$C$16/4,0)</f>
        <v/>
      </c>
      <c r="AF32" s="23">
        <f>IF(AF31="H",$B$8*$B$16*$C$16/4,0)</f>
        <v/>
      </c>
      <c r="AG32" s="23">
        <f>IF(AG31="H",$B$8*$B$16*$C$16/4,0)</f>
        <v/>
      </c>
      <c r="AH32" s="23">
        <f>IF(AH31="H",$B$8*$B$16*$C$16/4,0)</f>
        <v/>
      </c>
      <c r="AI32" s="23">
        <f>IF(AI31="H",$B$8*$B$16*$C$16/4,0)</f>
        <v/>
      </c>
      <c r="AJ32" s="23">
        <f>IF(AJ31="H",$B$8*$B$16*$C$16/4,0)</f>
        <v/>
      </c>
      <c r="AK32" s="23">
        <f>IF(AK31="H",$B$8*$B$16*$C$16/4,0)</f>
        <v/>
      </c>
      <c r="AL32" s="23">
        <f>IF(AL31="H",$B$8*$B$16*$C$16/4,0)</f>
        <v/>
      </c>
      <c r="AM32" s="23">
        <f>IF(AM31="H",$B$8*$B$16*$C$16/4,0)</f>
        <v/>
      </c>
      <c r="AN32" s="23">
        <f>IF(AN31="H",$B$8*$B$16*$C$16/4,0)</f>
        <v/>
      </c>
      <c r="AO32" s="23">
        <f>IF(AO31="H",$B$8*$B$16*$C$16/4,0)</f>
        <v/>
      </c>
      <c r="AP32" s="23">
        <f>IF(AP31="H",$B$8*$B$16*$C$16/4,0)</f>
        <v/>
      </c>
      <c r="AQ32" s="23">
        <f>IF(AQ31="H",$B$8*$B$16*$C$16/4,0)</f>
        <v/>
      </c>
      <c r="AR32" s="23">
        <f>IF(AR31="H",$B$8*$B$16*$C$16/4,0)</f>
        <v/>
      </c>
      <c r="AS32" s="23">
        <f>IF(AS31="H",$B$8*$B$16*$C$16/4,0)</f>
        <v/>
      </c>
      <c r="AT32" s="23">
        <f>IF(AT31="H",$B$8*$B$16*$C$16/4,0)</f>
        <v/>
      </c>
      <c r="AU32" s="23">
        <f>IF(AU31="H",$B$8*$B$16*$C$16/4,0)</f>
        <v/>
      </c>
      <c r="AV32" s="23">
        <f>IF(AV31="H",$B$8*$B$16*$C$16/4,0)</f>
        <v/>
      </c>
      <c r="AW32" s="23">
        <f>IF(AW31="H",$B$8*$B$16*$C$16/4,0)</f>
        <v/>
      </c>
      <c r="AX32" s="23">
        <f>IF(AX31="H",$B$8*$B$16*$C$16/4,0)</f>
        <v/>
      </c>
      <c r="AY32" s="23">
        <f>IF(AY31="H",$B$8*$B$16*$C$16/4,0)</f>
        <v/>
      </c>
      <c r="AZ32" s="23">
        <f>IF(AZ31="H",$B$8*$B$16*$C$16/4,0)</f>
        <v/>
      </c>
      <c r="BA32" s="23">
        <f>IF(BA31="H",$B$8*$B$16*$C$16/4,0)</f>
        <v/>
      </c>
      <c r="BB32" s="23">
        <f>IF(BB31="H",$B$8*$B$16*$C$16/4,0)</f>
        <v/>
      </c>
    </row>
    <row r="33">
      <c r="A33" s="21" t="inlineStr">
        <is>
          <t>Kale W32</t>
        </is>
      </c>
      <c r="B33" s="4" t="inlineStr">
        <is>
          <t>P/G/H</t>
        </is>
      </c>
      <c r="AH33" s="22" t="inlineStr">
        <is>
          <t>P</t>
        </is>
      </c>
      <c r="AI33" s="22" t="inlineStr">
        <is>
          <t>G</t>
        </is>
      </c>
      <c r="AJ33" s="22" t="inlineStr">
        <is>
          <t>G</t>
        </is>
      </c>
      <c r="AK33" s="22" t="inlineStr">
        <is>
          <t>G</t>
        </is>
      </c>
      <c r="AL33" s="22" t="inlineStr">
        <is>
          <t>G</t>
        </is>
      </c>
      <c r="AM33" s="22" t="inlineStr">
        <is>
          <t>G</t>
        </is>
      </c>
      <c r="AN33" s="22" t="inlineStr">
        <is>
          <t>G</t>
        </is>
      </c>
      <c r="AO33" s="22" t="inlineStr">
        <is>
          <t>G</t>
        </is>
      </c>
      <c r="AP33" s="22" t="inlineStr">
        <is>
          <t>G</t>
        </is>
      </c>
      <c r="AQ33" s="22" t="inlineStr">
        <is>
          <t>H</t>
        </is>
      </c>
      <c r="AR33" s="22" t="inlineStr">
        <is>
          <t>H</t>
        </is>
      </c>
      <c r="AS33" s="22" t="inlineStr">
        <is>
          <t>H</t>
        </is>
      </c>
      <c r="AT33" s="22" t="inlineStr">
        <is>
          <t>H</t>
        </is>
      </c>
    </row>
    <row r="34">
      <c r="A34" s="21" t="inlineStr">
        <is>
          <t xml:space="preserve">   lbs harvested (sellable)</t>
        </is>
      </c>
      <c r="B34" s="4" t="inlineStr">
        <is>
          <t>lb</t>
        </is>
      </c>
      <c r="C34" s="23">
        <f>IF(C33="H",$B$9*$B$16*$C$16/4,0)</f>
        <v/>
      </c>
      <c r="D34" s="23">
        <f>IF(D33="H",$B$9*$B$16*$C$16/4,0)</f>
        <v/>
      </c>
      <c r="E34" s="23">
        <f>IF(E33="H",$B$9*$B$16*$C$16/4,0)</f>
        <v/>
      </c>
      <c r="F34" s="23">
        <f>IF(F33="H",$B$9*$B$16*$C$16/4,0)</f>
        <v/>
      </c>
      <c r="G34" s="23">
        <f>IF(G33="H",$B$9*$B$16*$C$16/4,0)</f>
        <v/>
      </c>
      <c r="H34" s="23">
        <f>IF(H33="H",$B$9*$B$16*$C$16/4,0)</f>
        <v/>
      </c>
      <c r="I34" s="23">
        <f>IF(I33="H",$B$9*$B$16*$C$16/4,0)</f>
        <v/>
      </c>
      <c r="J34" s="23">
        <f>IF(J33="H",$B$9*$B$16*$C$16/4,0)</f>
        <v/>
      </c>
      <c r="K34" s="23">
        <f>IF(K33="H",$B$9*$B$16*$C$16/4,0)</f>
        <v/>
      </c>
      <c r="L34" s="23">
        <f>IF(L33="H",$B$9*$B$16*$C$16/4,0)</f>
        <v/>
      </c>
      <c r="M34" s="23">
        <f>IF(M33="H",$B$9*$B$16*$C$16/4,0)</f>
        <v/>
      </c>
      <c r="N34" s="23">
        <f>IF(N33="H",$B$9*$B$16*$C$16/4,0)</f>
        <v/>
      </c>
      <c r="O34" s="23">
        <f>IF(O33="H",$B$9*$B$16*$C$16/4,0)</f>
        <v/>
      </c>
      <c r="P34" s="23">
        <f>IF(P33="H",$B$9*$B$16*$C$16/4,0)</f>
        <v/>
      </c>
      <c r="Q34" s="23">
        <f>IF(Q33="H",$B$9*$B$16*$C$16/4,0)</f>
        <v/>
      </c>
      <c r="R34" s="23">
        <f>IF(R33="H",$B$9*$B$16*$C$16/4,0)</f>
        <v/>
      </c>
      <c r="S34" s="23">
        <f>IF(S33="H",$B$9*$B$16*$C$16/4,0)</f>
        <v/>
      </c>
      <c r="T34" s="23">
        <f>IF(T33="H",$B$9*$B$16*$C$16/4,0)</f>
        <v/>
      </c>
      <c r="U34" s="23">
        <f>IF(U33="H",$B$9*$B$16*$C$16/4,0)</f>
        <v/>
      </c>
      <c r="V34" s="23">
        <f>IF(V33="H",$B$9*$B$16*$C$16/4,0)</f>
        <v/>
      </c>
      <c r="W34" s="23">
        <f>IF(W33="H",$B$9*$B$16*$C$16/4,0)</f>
        <v/>
      </c>
      <c r="X34" s="23">
        <f>IF(X33="H",$B$9*$B$16*$C$16/4,0)</f>
        <v/>
      </c>
      <c r="Y34" s="23">
        <f>IF(Y33="H",$B$9*$B$16*$C$16/4,0)</f>
        <v/>
      </c>
      <c r="Z34" s="23">
        <f>IF(Z33="H",$B$9*$B$16*$C$16/4,0)</f>
        <v/>
      </c>
      <c r="AA34" s="23">
        <f>IF(AA33="H",$B$9*$B$16*$C$16/4,0)</f>
        <v/>
      </c>
      <c r="AB34" s="23">
        <f>IF(AB33="H",$B$9*$B$16*$C$16/4,0)</f>
        <v/>
      </c>
      <c r="AC34" s="23">
        <f>IF(AC33="H",$B$9*$B$16*$C$16/4,0)</f>
        <v/>
      </c>
      <c r="AD34" s="23">
        <f>IF(AD33="H",$B$9*$B$16*$C$16/4,0)</f>
        <v/>
      </c>
      <c r="AE34" s="23">
        <f>IF(AE33="H",$B$9*$B$16*$C$16/4,0)</f>
        <v/>
      </c>
      <c r="AF34" s="23">
        <f>IF(AF33="H",$B$9*$B$16*$C$16/4,0)</f>
        <v/>
      </c>
      <c r="AG34" s="23">
        <f>IF(AG33="H",$B$9*$B$16*$C$16/4,0)</f>
        <v/>
      </c>
      <c r="AH34" s="23">
        <f>IF(AH33="H",$B$9*$B$16*$C$16/4,0)</f>
        <v/>
      </c>
      <c r="AI34" s="23">
        <f>IF(AI33="H",$B$9*$B$16*$C$16/4,0)</f>
        <v/>
      </c>
      <c r="AJ34" s="23">
        <f>IF(AJ33="H",$B$9*$B$16*$C$16/4,0)</f>
        <v/>
      </c>
      <c r="AK34" s="23">
        <f>IF(AK33="H",$B$9*$B$16*$C$16/4,0)</f>
        <v/>
      </c>
      <c r="AL34" s="23">
        <f>IF(AL33="H",$B$9*$B$16*$C$16/4,0)</f>
        <v/>
      </c>
      <c r="AM34" s="23">
        <f>IF(AM33="H",$B$9*$B$16*$C$16/4,0)</f>
        <v/>
      </c>
      <c r="AN34" s="23">
        <f>IF(AN33="H",$B$9*$B$16*$C$16/4,0)</f>
        <v/>
      </c>
      <c r="AO34" s="23">
        <f>IF(AO33="H",$B$9*$B$16*$C$16/4,0)</f>
        <v/>
      </c>
      <c r="AP34" s="23">
        <f>IF(AP33="H",$B$9*$B$16*$C$16/4,0)</f>
        <v/>
      </c>
      <c r="AQ34" s="23">
        <f>IF(AQ33="H",$B$9*$B$16*$C$16/4,0)</f>
        <v/>
      </c>
      <c r="AR34" s="23">
        <f>IF(AR33="H",$B$9*$B$16*$C$16/4,0)</f>
        <v/>
      </c>
      <c r="AS34" s="23">
        <f>IF(AS33="H",$B$9*$B$16*$C$16/4,0)</f>
        <v/>
      </c>
      <c r="AT34" s="23">
        <f>IF(AT33="H",$B$9*$B$16*$C$16/4,0)</f>
        <v/>
      </c>
      <c r="AU34" s="23">
        <f>IF(AU33="H",$B$9*$B$16*$C$16/4,0)</f>
        <v/>
      </c>
      <c r="AV34" s="23">
        <f>IF(AV33="H",$B$9*$B$16*$C$16/4,0)</f>
        <v/>
      </c>
      <c r="AW34" s="23">
        <f>IF(AW33="H",$B$9*$B$16*$C$16/4,0)</f>
        <v/>
      </c>
      <c r="AX34" s="23">
        <f>IF(AX33="H",$B$9*$B$16*$C$16/4,0)</f>
        <v/>
      </c>
      <c r="AY34" s="23">
        <f>IF(AY33="H",$B$9*$B$16*$C$16/4,0)</f>
        <v/>
      </c>
      <c r="AZ34" s="23">
        <f>IF(AZ33="H",$B$9*$B$16*$C$16/4,0)</f>
        <v/>
      </c>
      <c r="BA34" s="23">
        <f>IF(BA33="H",$B$9*$B$16*$C$16/4,0)</f>
        <v/>
      </c>
      <c r="BB34" s="23">
        <f>IF(BB33="H",$B$9*$B$16*$C$16/4,0)</f>
        <v/>
      </c>
    </row>
    <row r="35">
      <c r="A35" s="21" t="inlineStr">
        <is>
          <t>Garlic W47</t>
        </is>
      </c>
      <c r="B35" s="4" t="inlineStr">
        <is>
          <t>P/G/H</t>
        </is>
      </c>
      <c r="C35" s="22" t="inlineStr">
        <is>
          <t>G</t>
        </is>
      </c>
      <c r="D35" s="22" t="inlineStr">
        <is>
          <t>G</t>
        </is>
      </c>
      <c r="E35" s="22" t="inlineStr">
        <is>
          <t>G</t>
        </is>
      </c>
      <c r="F35" s="22" t="inlineStr">
        <is>
          <t>G</t>
        </is>
      </c>
      <c r="G35" s="22" t="inlineStr">
        <is>
          <t>G</t>
        </is>
      </c>
      <c r="H35" s="22" t="inlineStr">
        <is>
          <t>G</t>
        </is>
      </c>
      <c r="I35" s="22" t="inlineStr">
        <is>
          <t>G</t>
        </is>
      </c>
      <c r="J35" s="22" t="inlineStr">
        <is>
          <t>G</t>
        </is>
      </c>
      <c r="K35" s="22" t="inlineStr">
        <is>
          <t>G</t>
        </is>
      </c>
      <c r="L35" s="22" t="inlineStr">
        <is>
          <t>G</t>
        </is>
      </c>
      <c r="M35" s="22" t="inlineStr">
        <is>
          <t>G</t>
        </is>
      </c>
      <c r="N35" s="22" t="inlineStr">
        <is>
          <t>G</t>
        </is>
      </c>
      <c r="O35" s="22" t="inlineStr">
        <is>
          <t>G</t>
        </is>
      </c>
      <c r="P35" s="22" t="inlineStr">
        <is>
          <t>G</t>
        </is>
      </c>
      <c r="Q35" s="22" t="inlineStr">
        <is>
          <t>G</t>
        </is>
      </c>
      <c r="R35" s="22" t="inlineStr">
        <is>
          <t>G</t>
        </is>
      </c>
      <c r="S35" s="22" t="inlineStr">
        <is>
          <t>G</t>
        </is>
      </c>
      <c r="T35" s="22" t="inlineStr">
        <is>
          <t>G</t>
        </is>
      </c>
      <c r="U35" s="22" t="inlineStr">
        <is>
          <t>G</t>
        </is>
      </c>
      <c r="V35" s="22" t="inlineStr">
        <is>
          <t>G</t>
        </is>
      </c>
      <c r="W35" s="22" t="inlineStr">
        <is>
          <t>G</t>
        </is>
      </c>
      <c r="X35" s="22" t="inlineStr">
        <is>
          <t>G</t>
        </is>
      </c>
      <c r="Y35" s="22" t="inlineStr">
        <is>
          <t>G</t>
        </is>
      </c>
      <c r="Z35" s="22" t="inlineStr">
        <is>
          <t>G</t>
        </is>
      </c>
      <c r="AA35" s="22" t="inlineStr">
        <is>
          <t>G</t>
        </is>
      </c>
      <c r="AB35" s="22" t="inlineStr">
        <is>
          <t>G</t>
        </is>
      </c>
      <c r="AC35" s="22" t="inlineStr">
        <is>
          <t>G</t>
        </is>
      </c>
      <c r="AD35" s="22" t="inlineStr">
        <is>
          <t>G</t>
        </is>
      </c>
      <c r="AE35" s="22" t="inlineStr">
        <is>
          <t>G</t>
        </is>
      </c>
      <c r="AF35" s="22" t="inlineStr">
        <is>
          <t>H</t>
        </is>
      </c>
      <c r="AW35" s="22" t="inlineStr">
        <is>
          <t>P</t>
        </is>
      </c>
      <c r="AX35" s="22" t="inlineStr">
        <is>
          <t>P</t>
        </is>
      </c>
      <c r="AY35" s="22" t="inlineStr">
        <is>
          <t>P</t>
        </is>
      </c>
      <c r="AZ35" s="22" t="inlineStr">
        <is>
          <t>G</t>
        </is>
      </c>
      <c r="BA35" s="22" t="inlineStr">
        <is>
          <t>G</t>
        </is>
      </c>
      <c r="BB35" s="22" t="inlineStr">
        <is>
          <t>G</t>
        </is>
      </c>
    </row>
    <row r="36">
      <c r="A36" s="21" t="inlineStr">
        <is>
          <t xml:space="preserve">   lbs harvested (sellable)</t>
        </is>
      </c>
      <c r="B36" s="4" t="inlineStr">
        <is>
          <t>lb</t>
        </is>
      </c>
      <c r="C36" s="23">
        <f>IF(C35="H",$B$10*$B$17*$C$17/1,0)</f>
        <v/>
      </c>
      <c r="D36" s="23">
        <f>IF(D35="H",$B$10*$B$17*$C$17/1,0)</f>
        <v/>
      </c>
      <c r="E36" s="23">
        <f>IF(E35="H",$B$10*$B$17*$C$17/1,0)</f>
        <v/>
      </c>
      <c r="F36" s="23">
        <f>IF(F35="H",$B$10*$B$17*$C$17/1,0)</f>
        <v/>
      </c>
      <c r="G36" s="23">
        <f>IF(G35="H",$B$10*$B$17*$C$17/1,0)</f>
        <v/>
      </c>
      <c r="H36" s="23">
        <f>IF(H35="H",$B$10*$B$17*$C$17/1,0)</f>
        <v/>
      </c>
      <c r="I36" s="23">
        <f>IF(I35="H",$B$10*$B$17*$C$17/1,0)</f>
        <v/>
      </c>
      <c r="J36" s="23">
        <f>IF(J35="H",$B$10*$B$17*$C$17/1,0)</f>
        <v/>
      </c>
      <c r="K36" s="23">
        <f>IF(K35="H",$B$10*$B$17*$C$17/1,0)</f>
        <v/>
      </c>
      <c r="L36" s="23">
        <f>IF(L35="H",$B$10*$B$17*$C$17/1,0)</f>
        <v/>
      </c>
      <c r="M36" s="23">
        <f>IF(M35="H",$B$10*$B$17*$C$17/1,0)</f>
        <v/>
      </c>
      <c r="N36" s="23">
        <f>IF(N35="H",$B$10*$B$17*$C$17/1,0)</f>
        <v/>
      </c>
      <c r="O36" s="23">
        <f>IF(O35="H",$B$10*$B$17*$C$17/1,0)</f>
        <v/>
      </c>
      <c r="P36" s="23">
        <f>IF(P35="H",$B$10*$B$17*$C$17/1,0)</f>
        <v/>
      </c>
      <c r="Q36" s="23">
        <f>IF(Q35="H",$B$10*$B$17*$C$17/1,0)</f>
        <v/>
      </c>
      <c r="R36" s="23">
        <f>IF(R35="H",$B$10*$B$17*$C$17/1,0)</f>
        <v/>
      </c>
      <c r="S36" s="23">
        <f>IF(S35="H",$B$10*$B$17*$C$17/1,0)</f>
        <v/>
      </c>
      <c r="T36" s="23">
        <f>IF(T35="H",$B$10*$B$17*$C$17/1,0)</f>
        <v/>
      </c>
      <c r="U36" s="23">
        <f>IF(U35="H",$B$10*$B$17*$C$17/1,0)</f>
        <v/>
      </c>
      <c r="V36" s="23">
        <f>IF(V35="H",$B$10*$B$17*$C$17/1,0)</f>
        <v/>
      </c>
      <c r="W36" s="23">
        <f>IF(W35="H",$B$10*$B$17*$C$17/1,0)</f>
        <v/>
      </c>
      <c r="X36" s="23">
        <f>IF(X35="H",$B$10*$B$17*$C$17/1,0)</f>
        <v/>
      </c>
      <c r="Y36" s="23">
        <f>IF(Y35="H",$B$10*$B$17*$C$17/1,0)</f>
        <v/>
      </c>
      <c r="Z36" s="23">
        <f>IF(Z35="H",$B$10*$B$17*$C$17/1,0)</f>
        <v/>
      </c>
      <c r="AA36" s="23">
        <f>IF(AA35="H",$B$10*$B$17*$C$17/1,0)</f>
        <v/>
      </c>
      <c r="AB36" s="23">
        <f>IF(AB35="H",$B$10*$B$17*$C$17/1,0)</f>
        <v/>
      </c>
      <c r="AC36" s="23">
        <f>IF(AC35="H",$B$10*$B$17*$C$17/1,0)</f>
        <v/>
      </c>
      <c r="AD36" s="23">
        <f>IF(AD35="H",$B$10*$B$17*$C$17/1,0)</f>
        <v/>
      </c>
      <c r="AE36" s="23">
        <f>IF(AE35="H",$B$10*$B$17*$C$17/1,0)</f>
        <v/>
      </c>
      <c r="AF36" s="23">
        <f>IF(AF35="H",$B$10*$B$17*$C$17/1,0)</f>
        <v/>
      </c>
      <c r="AG36" s="23">
        <f>IF(AG35="H",$B$10*$B$17*$C$17/1,0)</f>
        <v/>
      </c>
      <c r="AH36" s="23">
        <f>IF(AH35="H",$B$10*$B$17*$C$17/1,0)</f>
        <v/>
      </c>
      <c r="AI36" s="23">
        <f>IF(AI35="H",$B$10*$B$17*$C$17/1,0)</f>
        <v/>
      </c>
      <c r="AJ36" s="23">
        <f>IF(AJ35="H",$B$10*$B$17*$C$17/1,0)</f>
        <v/>
      </c>
      <c r="AK36" s="23">
        <f>IF(AK35="H",$B$10*$B$17*$C$17/1,0)</f>
        <v/>
      </c>
      <c r="AL36" s="23">
        <f>IF(AL35="H",$B$10*$B$17*$C$17/1,0)</f>
        <v/>
      </c>
      <c r="AM36" s="23">
        <f>IF(AM35="H",$B$10*$B$17*$C$17/1,0)</f>
        <v/>
      </c>
      <c r="AN36" s="23">
        <f>IF(AN35="H",$B$10*$B$17*$C$17/1,0)</f>
        <v/>
      </c>
      <c r="AO36" s="23">
        <f>IF(AO35="H",$B$10*$B$17*$C$17/1,0)</f>
        <v/>
      </c>
      <c r="AP36" s="23">
        <f>IF(AP35="H",$B$10*$B$17*$C$17/1,0)</f>
        <v/>
      </c>
      <c r="AQ36" s="23">
        <f>IF(AQ35="H",$B$10*$B$17*$C$17/1,0)</f>
        <v/>
      </c>
      <c r="AR36" s="23">
        <f>IF(AR35="H",$B$10*$B$17*$C$17/1,0)</f>
        <v/>
      </c>
      <c r="AS36" s="23">
        <f>IF(AS35="H",$B$10*$B$17*$C$17/1,0)</f>
        <v/>
      </c>
      <c r="AT36" s="23">
        <f>IF(AT35="H",$B$10*$B$17*$C$17/1,0)</f>
        <v/>
      </c>
      <c r="AU36" s="23">
        <f>IF(AU35="H",$B$10*$B$17*$C$17/1,0)</f>
        <v/>
      </c>
      <c r="AV36" s="23">
        <f>IF(AV35="H",$B$10*$B$17*$C$17/1,0)</f>
        <v/>
      </c>
      <c r="AW36" s="23">
        <f>IF(AW35="H",$B$10*$B$17*$C$17/1,0)</f>
        <v/>
      </c>
      <c r="AX36" s="23">
        <f>IF(AX35="H",$B$10*$B$17*$C$17/1,0)</f>
        <v/>
      </c>
      <c r="AY36" s="23">
        <f>IF(AY35="H",$B$10*$B$17*$C$17/1,0)</f>
        <v/>
      </c>
      <c r="AZ36" s="23">
        <f>IF(AZ35="H",$B$10*$B$17*$C$17/1,0)</f>
        <v/>
      </c>
      <c r="BA36" s="23">
        <f>IF(BA35="H",$B$10*$B$17*$C$17/1,0)</f>
        <v/>
      </c>
      <c r="BB36" s="23">
        <f>IF(BB35="H",$B$10*$B$17*$C$17/1,0)</f>
        <v/>
      </c>
    </row>
    <row r="37">
      <c r="A37" s="4" t="inlineStr">
        <is>
          <t>P = planting   G = growing   H = harvesting.  Only sellable pounds are shown (yield x sell-through).</t>
        </is>
      </c>
    </row>
    <row r="39">
      <c r="A39" s="2" t="inlineStr">
        <is>
          <t>SPINACH  —  cold store</t>
        </is>
      </c>
      <c r="B39" s="24" t="inlineStr"/>
    </row>
    <row r="40">
      <c r="A40" s="21" t="inlineStr">
        <is>
          <t>Harvested this week</t>
        </is>
      </c>
      <c r="B40" s="4" t="inlineStr">
        <is>
          <t>lb</t>
        </is>
      </c>
      <c r="C40" s="23">
        <f>C28+C30</f>
        <v/>
      </c>
      <c r="D40" s="23">
        <f>D28+D30</f>
        <v/>
      </c>
      <c r="E40" s="23">
        <f>E28+E30</f>
        <v/>
      </c>
      <c r="F40" s="23">
        <f>F28+F30</f>
        <v/>
      </c>
      <c r="G40" s="23">
        <f>G28+G30</f>
        <v/>
      </c>
      <c r="H40" s="23">
        <f>H28+H30</f>
        <v/>
      </c>
      <c r="I40" s="23">
        <f>I28+I30</f>
        <v/>
      </c>
      <c r="J40" s="23">
        <f>J28+J30</f>
        <v/>
      </c>
      <c r="K40" s="23">
        <f>K28+K30</f>
        <v/>
      </c>
      <c r="L40" s="23">
        <f>L28+L30</f>
        <v/>
      </c>
      <c r="M40" s="23">
        <f>M28+M30</f>
        <v/>
      </c>
      <c r="N40" s="23">
        <f>N28+N30</f>
        <v/>
      </c>
      <c r="O40" s="23">
        <f>O28+O30</f>
        <v/>
      </c>
      <c r="P40" s="23">
        <f>P28+P30</f>
        <v/>
      </c>
      <c r="Q40" s="23">
        <f>Q28+Q30</f>
        <v/>
      </c>
      <c r="R40" s="23">
        <f>R28+R30</f>
        <v/>
      </c>
      <c r="S40" s="23">
        <f>S28+S30</f>
        <v/>
      </c>
      <c r="T40" s="23">
        <f>T28+T30</f>
        <v/>
      </c>
      <c r="U40" s="23">
        <f>U28+U30</f>
        <v/>
      </c>
      <c r="V40" s="23">
        <f>V28+V30</f>
        <v/>
      </c>
      <c r="W40" s="23">
        <f>W28+W30</f>
        <v/>
      </c>
      <c r="X40" s="23">
        <f>X28+X30</f>
        <v/>
      </c>
      <c r="Y40" s="23">
        <f>Y28+Y30</f>
        <v/>
      </c>
      <c r="Z40" s="23">
        <f>Z28+Z30</f>
        <v/>
      </c>
      <c r="AA40" s="23">
        <f>AA28+AA30</f>
        <v/>
      </c>
      <c r="AB40" s="23">
        <f>AB28+AB30</f>
        <v/>
      </c>
      <c r="AC40" s="23">
        <f>AC28+AC30</f>
        <v/>
      </c>
      <c r="AD40" s="23">
        <f>AD28+AD30</f>
        <v/>
      </c>
      <c r="AE40" s="23">
        <f>AE28+AE30</f>
        <v/>
      </c>
      <c r="AF40" s="23">
        <f>AF28+AF30</f>
        <v/>
      </c>
      <c r="AG40" s="23">
        <f>AG28+AG30</f>
        <v/>
      </c>
      <c r="AH40" s="23">
        <f>AH28+AH30</f>
        <v/>
      </c>
      <c r="AI40" s="23">
        <f>AI28+AI30</f>
        <v/>
      </c>
      <c r="AJ40" s="23">
        <f>AJ28+AJ30</f>
        <v/>
      </c>
      <c r="AK40" s="23">
        <f>AK28+AK30</f>
        <v/>
      </c>
      <c r="AL40" s="23">
        <f>AL28+AL30</f>
        <v/>
      </c>
      <c r="AM40" s="23">
        <f>AM28+AM30</f>
        <v/>
      </c>
      <c r="AN40" s="23">
        <f>AN28+AN30</f>
        <v/>
      </c>
      <c r="AO40" s="23">
        <f>AO28+AO30</f>
        <v/>
      </c>
      <c r="AP40" s="23">
        <f>AP28+AP30</f>
        <v/>
      </c>
      <c r="AQ40" s="23">
        <f>AQ28+AQ30</f>
        <v/>
      </c>
      <c r="AR40" s="23">
        <f>AR28+AR30</f>
        <v/>
      </c>
      <c r="AS40" s="23">
        <f>AS28+AS30</f>
        <v/>
      </c>
      <c r="AT40" s="23">
        <f>AT28+AT30</f>
        <v/>
      </c>
      <c r="AU40" s="23">
        <f>AU28+AU30</f>
        <v/>
      </c>
      <c r="AV40" s="23">
        <f>AV28+AV30</f>
        <v/>
      </c>
      <c r="AW40" s="23">
        <f>AW28+AW30</f>
        <v/>
      </c>
      <c r="AX40" s="23">
        <f>AX28+AX30</f>
        <v/>
      </c>
      <c r="AY40" s="23">
        <f>AY28+AY30</f>
        <v/>
      </c>
      <c r="AZ40" s="23">
        <f>AZ28+AZ30</f>
        <v/>
      </c>
      <c r="BA40" s="23">
        <f>BA28+BA30</f>
        <v/>
      </c>
      <c r="BB40" s="23">
        <f>BB28+BB30</f>
        <v/>
      </c>
    </row>
    <row r="41">
      <c r="A41" s="21" t="inlineStr">
        <is>
          <t>Stock carried in</t>
        </is>
      </c>
      <c r="B41" s="4" t="inlineStr">
        <is>
          <t>lb</t>
        </is>
      </c>
      <c r="C41" s="23" t="n">
        <v>0</v>
      </c>
      <c r="D41" s="23">
        <f>C45</f>
        <v/>
      </c>
      <c r="E41" s="23">
        <f>D45</f>
        <v/>
      </c>
      <c r="F41" s="23">
        <f>E45</f>
        <v/>
      </c>
      <c r="G41" s="23">
        <f>F45</f>
        <v/>
      </c>
      <c r="H41" s="23">
        <f>G45</f>
        <v/>
      </c>
      <c r="I41" s="23">
        <f>H45</f>
        <v/>
      </c>
      <c r="J41" s="23">
        <f>I45</f>
        <v/>
      </c>
      <c r="K41" s="23">
        <f>J45</f>
        <v/>
      </c>
      <c r="L41" s="23">
        <f>K45</f>
        <v/>
      </c>
      <c r="M41" s="23">
        <f>L45</f>
        <v/>
      </c>
      <c r="N41" s="23">
        <f>M45</f>
        <v/>
      </c>
      <c r="O41" s="23">
        <f>N45</f>
        <v/>
      </c>
      <c r="P41" s="23">
        <f>O45</f>
        <v/>
      </c>
      <c r="Q41" s="23">
        <f>P45</f>
        <v/>
      </c>
      <c r="R41" s="23">
        <f>Q45</f>
        <v/>
      </c>
      <c r="S41" s="23">
        <f>R45</f>
        <v/>
      </c>
      <c r="T41" s="23">
        <f>S45</f>
        <v/>
      </c>
      <c r="U41" s="23">
        <f>T45</f>
        <v/>
      </c>
      <c r="V41" s="23">
        <f>U45</f>
        <v/>
      </c>
      <c r="W41" s="23">
        <f>V45</f>
        <v/>
      </c>
      <c r="X41" s="23">
        <f>W45</f>
        <v/>
      </c>
      <c r="Y41" s="23">
        <f>X45</f>
        <v/>
      </c>
      <c r="Z41" s="23">
        <f>Y45</f>
        <v/>
      </c>
      <c r="AA41" s="23">
        <f>Z45</f>
        <v/>
      </c>
      <c r="AB41" s="23">
        <f>AA45</f>
        <v/>
      </c>
      <c r="AC41" s="23">
        <f>AB45</f>
        <v/>
      </c>
      <c r="AD41" s="23">
        <f>AC45</f>
        <v/>
      </c>
      <c r="AE41" s="23">
        <f>AD45</f>
        <v/>
      </c>
      <c r="AF41" s="23">
        <f>AE45</f>
        <v/>
      </c>
      <c r="AG41" s="23">
        <f>AF45</f>
        <v/>
      </c>
      <c r="AH41" s="23">
        <f>AG45</f>
        <v/>
      </c>
      <c r="AI41" s="23">
        <f>AH45</f>
        <v/>
      </c>
      <c r="AJ41" s="23">
        <f>AI45</f>
        <v/>
      </c>
      <c r="AK41" s="23">
        <f>AJ45</f>
        <v/>
      </c>
      <c r="AL41" s="23">
        <f>AK45</f>
        <v/>
      </c>
      <c r="AM41" s="23">
        <f>AL45</f>
        <v/>
      </c>
      <c r="AN41" s="23">
        <f>AM45</f>
        <v/>
      </c>
      <c r="AO41" s="23">
        <f>AN45</f>
        <v/>
      </c>
      <c r="AP41" s="23">
        <f>AO45</f>
        <v/>
      </c>
      <c r="AQ41" s="23">
        <f>AP45</f>
        <v/>
      </c>
      <c r="AR41" s="23">
        <f>AQ45</f>
        <v/>
      </c>
      <c r="AS41" s="23">
        <f>AR45</f>
        <v/>
      </c>
      <c r="AT41" s="23">
        <f>AS45</f>
        <v/>
      </c>
      <c r="AU41" s="23">
        <f>AT45</f>
        <v/>
      </c>
      <c r="AV41" s="23">
        <f>AU45</f>
        <v/>
      </c>
      <c r="AW41" s="23">
        <f>AV45</f>
        <v/>
      </c>
      <c r="AX41" s="23">
        <f>AW45</f>
        <v/>
      </c>
      <c r="AY41" s="23">
        <f>AX45</f>
        <v/>
      </c>
      <c r="AZ41" s="23">
        <f>AY45</f>
        <v/>
      </c>
      <c r="BA41" s="23">
        <f>AZ45</f>
        <v/>
      </c>
      <c r="BB41" s="23">
        <f>BA45</f>
        <v/>
      </c>
    </row>
    <row r="42">
      <c r="A42" s="21" t="inlineStr">
        <is>
          <t xml:space="preserve">   lost to shrink</t>
        </is>
      </c>
      <c r="B42" s="4" t="inlineStr">
        <is>
          <t>lb</t>
        </is>
      </c>
      <c r="C42" s="23">
        <f>C41*$G$15</f>
        <v/>
      </c>
      <c r="D42" s="23">
        <f>D41*$G$15</f>
        <v/>
      </c>
      <c r="E42" s="23">
        <f>E41*$G$15</f>
        <v/>
      </c>
      <c r="F42" s="23">
        <f>F41*$G$15</f>
        <v/>
      </c>
      <c r="G42" s="23">
        <f>G41*$G$15</f>
        <v/>
      </c>
      <c r="H42" s="23">
        <f>H41*$G$15</f>
        <v/>
      </c>
      <c r="I42" s="23">
        <f>I41*$G$15</f>
        <v/>
      </c>
      <c r="J42" s="23">
        <f>J41*$G$15</f>
        <v/>
      </c>
      <c r="K42" s="23">
        <f>K41*$G$15</f>
        <v/>
      </c>
      <c r="L42" s="23">
        <f>L41*$G$15</f>
        <v/>
      </c>
      <c r="M42" s="23">
        <f>M41*$G$15</f>
        <v/>
      </c>
      <c r="N42" s="23">
        <f>N41*$G$15</f>
        <v/>
      </c>
      <c r="O42" s="23">
        <f>O41*$G$15</f>
        <v/>
      </c>
      <c r="P42" s="23">
        <f>P41*$G$15</f>
        <v/>
      </c>
      <c r="Q42" s="23">
        <f>Q41*$G$15</f>
        <v/>
      </c>
      <c r="R42" s="23">
        <f>R41*$G$15</f>
        <v/>
      </c>
      <c r="S42" s="23">
        <f>S41*$G$15</f>
        <v/>
      </c>
      <c r="T42" s="23">
        <f>T41*$G$15</f>
        <v/>
      </c>
      <c r="U42" s="23">
        <f>U41*$G$15</f>
        <v/>
      </c>
      <c r="V42" s="23">
        <f>V41*$G$15</f>
        <v/>
      </c>
      <c r="W42" s="23">
        <f>W41*$G$15</f>
        <v/>
      </c>
      <c r="X42" s="23">
        <f>X41*$G$15</f>
        <v/>
      </c>
      <c r="Y42" s="23">
        <f>Y41*$G$15</f>
        <v/>
      </c>
      <c r="Z42" s="23">
        <f>Z41*$G$15</f>
        <v/>
      </c>
      <c r="AA42" s="23">
        <f>AA41*$G$15</f>
        <v/>
      </c>
      <c r="AB42" s="23">
        <f>AB41*$G$15</f>
        <v/>
      </c>
      <c r="AC42" s="23">
        <f>AC41*$G$15</f>
        <v/>
      </c>
      <c r="AD42" s="23">
        <f>AD41*$G$15</f>
        <v/>
      </c>
      <c r="AE42" s="23">
        <f>AE41*$G$15</f>
        <v/>
      </c>
      <c r="AF42" s="23">
        <f>AF41*$G$15</f>
        <v/>
      </c>
      <c r="AG42" s="23">
        <f>AG41*$G$15</f>
        <v/>
      </c>
      <c r="AH42" s="23">
        <f>AH41*$G$15</f>
        <v/>
      </c>
      <c r="AI42" s="23">
        <f>AI41*$G$15</f>
        <v/>
      </c>
      <c r="AJ42" s="23">
        <f>AJ41*$G$15</f>
        <v/>
      </c>
      <c r="AK42" s="23">
        <f>AK41*$G$15</f>
        <v/>
      </c>
      <c r="AL42" s="23">
        <f>AL41*$G$15</f>
        <v/>
      </c>
      <c r="AM42" s="23">
        <f>AM41*$G$15</f>
        <v/>
      </c>
      <c r="AN42" s="23">
        <f>AN41*$G$15</f>
        <v/>
      </c>
      <c r="AO42" s="23">
        <f>AO41*$G$15</f>
        <v/>
      </c>
      <c r="AP42" s="23">
        <f>AP41*$G$15</f>
        <v/>
      </c>
      <c r="AQ42" s="23">
        <f>AQ41*$G$15</f>
        <v/>
      </c>
      <c r="AR42" s="23">
        <f>AR41*$G$15</f>
        <v/>
      </c>
      <c r="AS42" s="23">
        <f>AS41*$G$15</f>
        <v/>
      </c>
      <c r="AT42" s="23">
        <f>AT41*$G$15</f>
        <v/>
      </c>
      <c r="AU42" s="23">
        <f>AU41*$G$15</f>
        <v/>
      </c>
      <c r="AV42" s="23">
        <f>AV41*$G$15</f>
        <v/>
      </c>
      <c r="AW42" s="23">
        <f>AW41*$G$15</f>
        <v/>
      </c>
      <c r="AX42" s="23">
        <f>AX41*$G$15</f>
        <v/>
      </c>
      <c r="AY42" s="23">
        <f>AY41*$G$15</f>
        <v/>
      </c>
      <c r="AZ42" s="23">
        <f>AZ41*$G$15</f>
        <v/>
      </c>
      <c r="BA42" s="23">
        <f>BA41*$G$15</f>
        <v/>
      </c>
      <c r="BB42" s="23">
        <f>BB41*$G$15</f>
        <v/>
      </c>
    </row>
    <row r="43">
      <c r="A43" s="21" t="inlineStr">
        <is>
          <t>Available to sell</t>
        </is>
      </c>
      <c r="B43" s="4" t="inlineStr">
        <is>
          <t>lb</t>
        </is>
      </c>
      <c r="C43" s="23">
        <f>C41-C42+C40</f>
        <v/>
      </c>
      <c r="D43" s="23">
        <f>D41-D42+D40</f>
        <v/>
      </c>
      <c r="E43" s="23">
        <f>E41-E42+E40</f>
        <v/>
      </c>
      <c r="F43" s="23">
        <f>F41-F42+F40</f>
        <v/>
      </c>
      <c r="G43" s="23">
        <f>G41-G42+G40</f>
        <v/>
      </c>
      <c r="H43" s="23">
        <f>H41-H42+H40</f>
        <v/>
      </c>
      <c r="I43" s="23">
        <f>I41-I42+I40</f>
        <v/>
      </c>
      <c r="J43" s="23">
        <f>J41-J42+J40</f>
        <v/>
      </c>
      <c r="K43" s="23">
        <f>K41-K42+K40</f>
        <v/>
      </c>
      <c r="L43" s="23">
        <f>L41-L42+L40</f>
        <v/>
      </c>
      <c r="M43" s="23">
        <f>M41-M42+M40</f>
        <v/>
      </c>
      <c r="N43" s="23">
        <f>N41-N42+N40</f>
        <v/>
      </c>
      <c r="O43" s="23">
        <f>O41-O42+O40</f>
        <v/>
      </c>
      <c r="P43" s="23">
        <f>P41-P42+P40</f>
        <v/>
      </c>
      <c r="Q43" s="23">
        <f>Q41-Q42+Q40</f>
        <v/>
      </c>
      <c r="R43" s="23">
        <f>R41-R42+R40</f>
        <v/>
      </c>
      <c r="S43" s="23">
        <f>S41-S42+S40</f>
        <v/>
      </c>
      <c r="T43" s="23">
        <f>T41-T42+T40</f>
        <v/>
      </c>
      <c r="U43" s="23">
        <f>U41-U42+U40</f>
        <v/>
      </c>
      <c r="V43" s="23">
        <f>V41-V42+V40</f>
        <v/>
      </c>
      <c r="W43" s="23">
        <f>W41-W42+W40</f>
        <v/>
      </c>
      <c r="X43" s="23">
        <f>X41-X42+X40</f>
        <v/>
      </c>
      <c r="Y43" s="23">
        <f>Y41-Y42+Y40</f>
        <v/>
      </c>
      <c r="Z43" s="23">
        <f>Z41-Z42+Z40</f>
        <v/>
      </c>
      <c r="AA43" s="23">
        <f>AA41-AA42+AA40</f>
        <v/>
      </c>
      <c r="AB43" s="23">
        <f>AB41-AB42+AB40</f>
        <v/>
      </c>
      <c r="AC43" s="23">
        <f>AC41-AC42+AC40</f>
        <v/>
      </c>
      <c r="AD43" s="23">
        <f>AD41-AD42+AD40</f>
        <v/>
      </c>
      <c r="AE43" s="23">
        <f>AE41-AE42+AE40</f>
        <v/>
      </c>
      <c r="AF43" s="23">
        <f>AF41-AF42+AF40</f>
        <v/>
      </c>
      <c r="AG43" s="23">
        <f>AG41-AG42+AG40</f>
        <v/>
      </c>
      <c r="AH43" s="23">
        <f>AH41-AH42+AH40</f>
        <v/>
      </c>
      <c r="AI43" s="23">
        <f>AI41-AI42+AI40</f>
        <v/>
      </c>
      <c r="AJ43" s="23">
        <f>AJ41-AJ42+AJ40</f>
        <v/>
      </c>
      <c r="AK43" s="23">
        <f>AK41-AK42+AK40</f>
        <v/>
      </c>
      <c r="AL43" s="23">
        <f>AL41-AL42+AL40</f>
        <v/>
      </c>
      <c r="AM43" s="23">
        <f>AM41-AM42+AM40</f>
        <v/>
      </c>
      <c r="AN43" s="23">
        <f>AN41-AN42+AN40</f>
        <v/>
      </c>
      <c r="AO43" s="23">
        <f>AO41-AO42+AO40</f>
        <v/>
      </c>
      <c r="AP43" s="23">
        <f>AP41-AP42+AP40</f>
        <v/>
      </c>
      <c r="AQ43" s="23">
        <f>AQ41-AQ42+AQ40</f>
        <v/>
      </c>
      <c r="AR43" s="23">
        <f>AR41-AR42+AR40</f>
        <v/>
      </c>
      <c r="AS43" s="23">
        <f>AS41-AS42+AS40</f>
        <v/>
      </c>
      <c r="AT43" s="23">
        <f>AT41-AT42+AT40</f>
        <v/>
      </c>
      <c r="AU43" s="23">
        <f>AU41-AU42+AU40</f>
        <v/>
      </c>
      <c r="AV43" s="23">
        <f>AV41-AV42+AV40</f>
        <v/>
      </c>
      <c r="AW43" s="23">
        <f>AW41-AW42+AW40</f>
        <v/>
      </c>
      <c r="AX43" s="23">
        <f>AX41-AX42+AX40</f>
        <v/>
      </c>
      <c r="AY43" s="23">
        <f>AY41-AY42+AY40</f>
        <v/>
      </c>
      <c r="AZ43" s="23">
        <f>AZ41-AZ42+AZ40</f>
        <v/>
      </c>
      <c r="BA43" s="23">
        <f>BA41-BA42+BA40</f>
        <v/>
      </c>
      <c r="BB43" s="23">
        <f>BB41-BB42+BB40</f>
        <v/>
      </c>
    </row>
    <row r="44">
      <c r="A44" s="21" t="inlineStr">
        <is>
          <t>Sold</t>
        </is>
      </c>
      <c r="B44" s="4" t="inlineStr">
        <is>
          <t>lb</t>
        </is>
      </c>
      <c r="C44" s="23">
        <f>MIN(C43,$H$15)</f>
        <v/>
      </c>
      <c r="D44" s="23">
        <f>MIN(D43,$H$15)</f>
        <v/>
      </c>
      <c r="E44" s="23">
        <f>MIN(E43,$H$15)</f>
        <v/>
      </c>
      <c r="F44" s="23">
        <f>MIN(F43,$H$15)</f>
        <v/>
      </c>
      <c r="G44" s="23">
        <f>MIN(G43,$H$15)</f>
        <v/>
      </c>
      <c r="H44" s="23">
        <f>MIN(H43,$H$15)</f>
        <v/>
      </c>
      <c r="I44" s="23">
        <f>MIN(I43,$H$15)</f>
        <v/>
      </c>
      <c r="J44" s="23">
        <f>MIN(J43,$H$15)</f>
        <v/>
      </c>
      <c r="K44" s="23">
        <f>MIN(K43,$H$15)</f>
        <v/>
      </c>
      <c r="L44" s="23">
        <f>MIN(L43,$H$15)</f>
        <v/>
      </c>
      <c r="M44" s="23">
        <f>MIN(M43,$H$15)</f>
        <v/>
      </c>
      <c r="N44" s="23">
        <f>MIN(N43,$H$15)</f>
        <v/>
      </c>
      <c r="O44" s="23">
        <f>MIN(O43,$H$15)</f>
        <v/>
      </c>
      <c r="P44" s="23">
        <f>MIN(P43,$H$15)</f>
        <v/>
      </c>
      <c r="Q44" s="23">
        <f>MIN(Q43,$H$15)</f>
        <v/>
      </c>
      <c r="R44" s="23">
        <f>MIN(R43,$H$15)</f>
        <v/>
      </c>
      <c r="S44" s="23">
        <f>MIN(S43,$H$15)</f>
        <v/>
      </c>
      <c r="T44" s="23">
        <f>MIN(T43,$H$15)</f>
        <v/>
      </c>
      <c r="U44" s="23">
        <f>MIN(U43,$H$15)</f>
        <v/>
      </c>
      <c r="V44" s="23">
        <f>MIN(V43,$H$15)</f>
        <v/>
      </c>
      <c r="W44" s="23">
        <f>MIN(W43,$H$15)</f>
        <v/>
      </c>
      <c r="X44" s="23">
        <f>MIN(X43,$H$15)</f>
        <v/>
      </c>
      <c r="Y44" s="23">
        <f>MIN(Y43,$H$15)</f>
        <v/>
      </c>
      <c r="Z44" s="23">
        <f>MIN(Z43,$H$15)</f>
        <v/>
      </c>
      <c r="AA44" s="23">
        <f>MIN(AA43,$H$15)</f>
        <v/>
      </c>
      <c r="AB44" s="23">
        <f>MIN(AB43,$H$15)</f>
        <v/>
      </c>
      <c r="AC44" s="23">
        <f>MIN(AC43,$H$15)</f>
        <v/>
      </c>
      <c r="AD44" s="23">
        <f>MIN(AD43,$H$15)</f>
        <v/>
      </c>
      <c r="AE44" s="23">
        <f>MIN(AE43,$H$15)</f>
        <v/>
      </c>
      <c r="AF44" s="23">
        <f>MIN(AF43,$H$15)</f>
        <v/>
      </c>
      <c r="AG44" s="23">
        <f>MIN(AG43,$H$15)</f>
        <v/>
      </c>
      <c r="AH44" s="23">
        <f>MIN(AH43,$H$15)</f>
        <v/>
      </c>
      <c r="AI44" s="23">
        <f>MIN(AI43,$H$15)</f>
        <v/>
      </c>
      <c r="AJ44" s="23">
        <f>MIN(AJ43,$H$15)</f>
        <v/>
      </c>
      <c r="AK44" s="23">
        <f>MIN(AK43,$H$15)</f>
        <v/>
      </c>
      <c r="AL44" s="23">
        <f>MIN(AL43,$H$15)</f>
        <v/>
      </c>
      <c r="AM44" s="23">
        <f>MIN(AM43,$H$15)</f>
        <v/>
      </c>
      <c r="AN44" s="23">
        <f>MIN(AN43,$H$15)</f>
        <v/>
      </c>
      <c r="AO44" s="23">
        <f>MIN(AO43,$H$15)</f>
        <v/>
      </c>
      <c r="AP44" s="23">
        <f>MIN(AP43,$H$15)</f>
        <v/>
      </c>
      <c r="AQ44" s="23">
        <f>MIN(AQ43,$H$15)</f>
        <v/>
      </c>
      <c r="AR44" s="23">
        <f>MIN(AR43,$H$15)</f>
        <v/>
      </c>
      <c r="AS44" s="23">
        <f>MIN(AS43,$H$15)</f>
        <v/>
      </c>
      <c r="AT44" s="23">
        <f>MIN(AT43,$H$15)</f>
        <v/>
      </c>
      <c r="AU44" s="23">
        <f>MIN(AU43,$H$15)</f>
        <v/>
      </c>
      <c r="AV44" s="23">
        <f>MIN(AV43,$H$15)</f>
        <v/>
      </c>
      <c r="AW44" s="23">
        <f>MIN(AW43,$H$15)</f>
        <v/>
      </c>
      <c r="AX44" s="23">
        <f>MIN(AX43,$H$15)</f>
        <v/>
      </c>
      <c r="AY44" s="23">
        <f>MIN(AY43,$H$15)</f>
        <v/>
      </c>
      <c r="AZ44" s="23">
        <f>MIN(AZ43,$H$15)</f>
        <v/>
      </c>
      <c r="BA44" s="23">
        <f>MIN(BA43,$H$15)</f>
        <v/>
      </c>
      <c r="BB44" s="23">
        <f>MIN(BB43,$H$15)</f>
        <v/>
      </c>
    </row>
    <row r="45">
      <c r="A45" s="3" t="inlineStr">
        <is>
          <t>Stock carried out</t>
        </is>
      </c>
      <c r="B45" s="4" t="inlineStr">
        <is>
          <t>lb</t>
        </is>
      </c>
      <c r="C45" s="23">
        <f>C43-C44</f>
        <v/>
      </c>
      <c r="D45" s="23">
        <f>D43-D44</f>
        <v/>
      </c>
      <c r="E45" s="23">
        <f>E43-E44</f>
        <v/>
      </c>
      <c r="F45" s="23">
        <f>F43-F44</f>
        <v/>
      </c>
      <c r="G45" s="23">
        <f>G43-G44</f>
        <v/>
      </c>
      <c r="H45" s="23">
        <f>H43-H44</f>
        <v/>
      </c>
      <c r="I45" s="23">
        <f>I43-I44</f>
        <v/>
      </c>
      <c r="J45" s="23">
        <f>J43-J44</f>
        <v/>
      </c>
      <c r="K45" s="23">
        <f>K43-K44</f>
        <v/>
      </c>
      <c r="L45" s="23">
        <f>L43-L44</f>
        <v/>
      </c>
      <c r="M45" s="23">
        <f>M43-M44</f>
        <v/>
      </c>
      <c r="N45" s="23">
        <f>N43-N44</f>
        <v/>
      </c>
      <c r="O45" s="23">
        <f>O43-O44</f>
        <v/>
      </c>
      <c r="P45" s="23">
        <f>P43-P44</f>
        <v/>
      </c>
      <c r="Q45" s="23">
        <f>Q43-Q44</f>
        <v/>
      </c>
      <c r="R45" s="23">
        <f>R43-R44</f>
        <v/>
      </c>
      <c r="S45" s="23">
        <f>S43-S44</f>
        <v/>
      </c>
      <c r="T45" s="23">
        <f>T43-T44</f>
        <v/>
      </c>
      <c r="U45" s="23">
        <f>U43-U44</f>
        <v/>
      </c>
      <c r="V45" s="23">
        <f>V43-V44</f>
        <v/>
      </c>
      <c r="W45" s="23">
        <f>W43-W44</f>
        <v/>
      </c>
      <c r="X45" s="23">
        <f>X43-X44</f>
        <v/>
      </c>
      <c r="Y45" s="23">
        <f>Y43-Y44</f>
        <v/>
      </c>
      <c r="Z45" s="23">
        <f>Z43-Z44</f>
        <v/>
      </c>
      <c r="AA45" s="23">
        <f>AA43-AA44</f>
        <v/>
      </c>
      <c r="AB45" s="23">
        <f>AB43-AB44</f>
        <v/>
      </c>
      <c r="AC45" s="23">
        <f>AC43-AC44</f>
        <v/>
      </c>
      <c r="AD45" s="23">
        <f>AD43-AD44</f>
        <v/>
      </c>
      <c r="AE45" s="23">
        <f>AE43-AE44</f>
        <v/>
      </c>
      <c r="AF45" s="23">
        <f>AF43-AF44</f>
        <v/>
      </c>
      <c r="AG45" s="23">
        <f>AG43-AG44</f>
        <v/>
      </c>
      <c r="AH45" s="23">
        <f>AH43-AH44</f>
        <v/>
      </c>
      <c r="AI45" s="23">
        <f>AI43-AI44</f>
        <v/>
      </c>
      <c r="AJ45" s="23">
        <f>AJ43-AJ44</f>
        <v/>
      </c>
      <c r="AK45" s="23">
        <f>AK43-AK44</f>
        <v/>
      </c>
      <c r="AL45" s="23">
        <f>AL43-AL44</f>
        <v/>
      </c>
      <c r="AM45" s="23">
        <f>AM43-AM44</f>
        <v/>
      </c>
      <c r="AN45" s="23">
        <f>AN43-AN44</f>
        <v/>
      </c>
      <c r="AO45" s="23">
        <f>AO43-AO44</f>
        <v/>
      </c>
      <c r="AP45" s="23">
        <f>AP43-AP44</f>
        <v/>
      </c>
      <c r="AQ45" s="23">
        <f>AQ43-AQ44</f>
        <v/>
      </c>
      <c r="AR45" s="23">
        <f>AR43-AR44</f>
        <v/>
      </c>
      <c r="AS45" s="23">
        <f>AS43-AS44</f>
        <v/>
      </c>
      <c r="AT45" s="23">
        <f>AT43-AT44</f>
        <v/>
      </c>
      <c r="AU45" s="23">
        <f>AU43-AU44</f>
        <v/>
      </c>
      <c r="AV45" s="23">
        <f>AV43-AV44</f>
        <v/>
      </c>
      <c r="AW45" s="23">
        <f>AW43-AW44</f>
        <v/>
      </c>
      <c r="AX45" s="23">
        <f>AX43-AX44</f>
        <v/>
      </c>
      <c r="AY45" s="23">
        <f>AY43-AY44</f>
        <v/>
      </c>
      <c r="AZ45" s="23">
        <f>AZ43-AZ44</f>
        <v/>
      </c>
      <c r="BA45" s="23">
        <f>BA43-BA44</f>
        <v/>
      </c>
      <c r="BB45" s="23">
        <f>BB43-BB44</f>
        <v/>
      </c>
    </row>
    <row r="46">
      <c r="A46" s="3" t="inlineStr">
        <is>
          <t>ROOM OCCUPANCY</t>
        </is>
      </c>
      <c r="B46" s="4" t="inlineStr">
        <is>
          <t>m3</t>
        </is>
      </c>
      <c r="C46" s="25">
        <f>(C41+C40)*$D$15</f>
        <v/>
      </c>
      <c r="D46" s="25">
        <f>(D41+D40)*$D$15</f>
        <v/>
      </c>
      <c r="E46" s="25">
        <f>(E41+E40)*$D$15</f>
        <v/>
      </c>
      <c r="F46" s="25">
        <f>(F41+F40)*$D$15</f>
        <v/>
      </c>
      <c r="G46" s="25">
        <f>(G41+G40)*$D$15</f>
        <v/>
      </c>
      <c r="H46" s="25">
        <f>(H41+H40)*$D$15</f>
        <v/>
      </c>
      <c r="I46" s="25">
        <f>(I41+I40)*$D$15</f>
        <v/>
      </c>
      <c r="J46" s="25">
        <f>(J41+J40)*$D$15</f>
        <v/>
      </c>
      <c r="K46" s="25">
        <f>(K41+K40)*$D$15</f>
        <v/>
      </c>
      <c r="L46" s="25">
        <f>(L41+L40)*$D$15</f>
        <v/>
      </c>
      <c r="M46" s="25">
        <f>(M41+M40)*$D$15</f>
        <v/>
      </c>
      <c r="N46" s="25">
        <f>(N41+N40)*$D$15</f>
        <v/>
      </c>
      <c r="O46" s="25">
        <f>(O41+O40)*$D$15</f>
        <v/>
      </c>
      <c r="P46" s="25">
        <f>(P41+P40)*$D$15</f>
        <v/>
      </c>
      <c r="Q46" s="25">
        <f>(Q41+Q40)*$D$15</f>
        <v/>
      </c>
      <c r="R46" s="25">
        <f>(R41+R40)*$D$15</f>
        <v/>
      </c>
      <c r="S46" s="25">
        <f>(S41+S40)*$D$15</f>
        <v/>
      </c>
      <c r="T46" s="25">
        <f>(T41+T40)*$D$15</f>
        <v/>
      </c>
      <c r="U46" s="25">
        <f>(U41+U40)*$D$15</f>
        <v/>
      </c>
      <c r="V46" s="25">
        <f>(V41+V40)*$D$15</f>
        <v/>
      </c>
      <c r="W46" s="25">
        <f>(W41+W40)*$D$15</f>
        <v/>
      </c>
      <c r="X46" s="25">
        <f>(X41+X40)*$D$15</f>
        <v/>
      </c>
      <c r="Y46" s="25">
        <f>(Y41+Y40)*$D$15</f>
        <v/>
      </c>
      <c r="Z46" s="25">
        <f>(Z41+Z40)*$D$15</f>
        <v/>
      </c>
      <c r="AA46" s="25">
        <f>(AA41+AA40)*$D$15</f>
        <v/>
      </c>
      <c r="AB46" s="25">
        <f>(AB41+AB40)*$D$15</f>
        <v/>
      </c>
      <c r="AC46" s="25">
        <f>(AC41+AC40)*$D$15</f>
        <v/>
      </c>
      <c r="AD46" s="25">
        <f>(AD41+AD40)*$D$15</f>
        <v/>
      </c>
      <c r="AE46" s="25">
        <f>(AE41+AE40)*$D$15</f>
        <v/>
      </c>
      <c r="AF46" s="25">
        <f>(AF41+AF40)*$D$15</f>
        <v/>
      </c>
      <c r="AG46" s="25">
        <f>(AG41+AG40)*$D$15</f>
        <v/>
      </c>
      <c r="AH46" s="25">
        <f>(AH41+AH40)*$D$15</f>
        <v/>
      </c>
      <c r="AI46" s="25">
        <f>(AI41+AI40)*$D$15</f>
        <v/>
      </c>
      <c r="AJ46" s="25">
        <f>(AJ41+AJ40)*$D$15</f>
        <v/>
      </c>
      <c r="AK46" s="25">
        <f>(AK41+AK40)*$D$15</f>
        <v/>
      </c>
      <c r="AL46" s="25">
        <f>(AL41+AL40)*$D$15</f>
        <v/>
      </c>
      <c r="AM46" s="25">
        <f>(AM41+AM40)*$D$15</f>
        <v/>
      </c>
      <c r="AN46" s="25">
        <f>(AN41+AN40)*$D$15</f>
        <v/>
      </c>
      <c r="AO46" s="25">
        <f>(AO41+AO40)*$D$15</f>
        <v/>
      </c>
      <c r="AP46" s="25">
        <f>(AP41+AP40)*$D$15</f>
        <v/>
      </c>
      <c r="AQ46" s="25">
        <f>(AQ41+AQ40)*$D$15</f>
        <v/>
      </c>
      <c r="AR46" s="25">
        <f>(AR41+AR40)*$D$15</f>
        <v/>
      </c>
      <c r="AS46" s="25">
        <f>(AS41+AS40)*$D$15</f>
        <v/>
      </c>
      <c r="AT46" s="25">
        <f>(AT41+AT40)*$D$15</f>
        <v/>
      </c>
      <c r="AU46" s="25">
        <f>(AU41+AU40)*$D$15</f>
        <v/>
      </c>
      <c r="AV46" s="25">
        <f>(AV41+AV40)*$D$15</f>
        <v/>
      </c>
      <c r="AW46" s="25">
        <f>(AW41+AW40)*$D$15</f>
        <v/>
      </c>
      <c r="AX46" s="25">
        <f>(AX41+AX40)*$D$15</f>
        <v/>
      </c>
      <c r="AY46" s="25">
        <f>(AY41+AY40)*$D$15</f>
        <v/>
      </c>
      <c r="AZ46" s="25">
        <f>(AZ41+AZ40)*$D$15</f>
        <v/>
      </c>
      <c r="BA46" s="25">
        <f>(BA41+BA40)*$D$15</f>
        <v/>
      </c>
      <c r="BB46" s="25">
        <f>(BB41+BB40)*$D$15</f>
        <v/>
      </c>
    </row>
    <row r="47">
      <c r="A47" s="4" t="inlineStr">
        <is>
          <t xml:space="preserve">   = carried in + ALL of this week's harvest, before any of it ships</t>
        </is>
      </c>
    </row>
    <row r="48">
      <c r="A48" s="21" t="inlineStr">
        <is>
          <t>Over shelf life?</t>
        </is>
      </c>
      <c r="B48" s="4" t="inlineStr">
        <is>
          <t>lb</t>
        </is>
      </c>
      <c r="C48" s="23">
        <f>MAX(0,C45-SUMIFS($C$40:$BB$40,$C$25:$BB$25,"&gt;="&amp;C$25-$F$15+2,$C$25:$BB$25,"&lt;="&amp;C$25))</f>
        <v/>
      </c>
      <c r="D48" s="23">
        <f>MAX(0,D45-SUMIFS($C$40:$BB$40,$C$25:$BB$25,"&gt;="&amp;D$25-$F$15+2,$C$25:$BB$25,"&lt;="&amp;D$25))</f>
        <v/>
      </c>
      <c r="E48" s="23">
        <f>MAX(0,E45-SUMIFS($C$40:$BB$40,$C$25:$BB$25,"&gt;="&amp;E$25-$F$15+2,$C$25:$BB$25,"&lt;="&amp;E$25))</f>
        <v/>
      </c>
      <c r="F48" s="23">
        <f>MAX(0,F45-SUMIFS($C$40:$BB$40,$C$25:$BB$25,"&gt;="&amp;F$25-$F$15+2,$C$25:$BB$25,"&lt;="&amp;F$25))</f>
        <v/>
      </c>
      <c r="G48" s="23">
        <f>MAX(0,G45-SUMIFS($C$40:$BB$40,$C$25:$BB$25,"&gt;="&amp;G$25-$F$15+2,$C$25:$BB$25,"&lt;="&amp;G$25))</f>
        <v/>
      </c>
      <c r="H48" s="23">
        <f>MAX(0,H45-SUMIFS($C$40:$BB$40,$C$25:$BB$25,"&gt;="&amp;H$25-$F$15+2,$C$25:$BB$25,"&lt;="&amp;H$25))</f>
        <v/>
      </c>
      <c r="I48" s="23">
        <f>MAX(0,I45-SUMIFS($C$40:$BB$40,$C$25:$BB$25,"&gt;="&amp;I$25-$F$15+2,$C$25:$BB$25,"&lt;="&amp;I$25))</f>
        <v/>
      </c>
      <c r="J48" s="23">
        <f>MAX(0,J45-SUMIFS($C$40:$BB$40,$C$25:$BB$25,"&gt;="&amp;J$25-$F$15+2,$C$25:$BB$25,"&lt;="&amp;J$25))</f>
        <v/>
      </c>
      <c r="K48" s="23">
        <f>MAX(0,K45-SUMIFS($C$40:$BB$40,$C$25:$BB$25,"&gt;="&amp;K$25-$F$15+2,$C$25:$BB$25,"&lt;="&amp;K$25))</f>
        <v/>
      </c>
      <c r="L48" s="23">
        <f>MAX(0,L45-SUMIFS($C$40:$BB$40,$C$25:$BB$25,"&gt;="&amp;L$25-$F$15+2,$C$25:$BB$25,"&lt;="&amp;L$25))</f>
        <v/>
      </c>
      <c r="M48" s="23">
        <f>MAX(0,M45-SUMIFS($C$40:$BB$40,$C$25:$BB$25,"&gt;="&amp;M$25-$F$15+2,$C$25:$BB$25,"&lt;="&amp;M$25))</f>
        <v/>
      </c>
      <c r="N48" s="23">
        <f>MAX(0,N45-SUMIFS($C$40:$BB$40,$C$25:$BB$25,"&gt;="&amp;N$25-$F$15+2,$C$25:$BB$25,"&lt;="&amp;N$25))</f>
        <v/>
      </c>
      <c r="O48" s="23">
        <f>MAX(0,O45-SUMIFS($C$40:$BB$40,$C$25:$BB$25,"&gt;="&amp;O$25-$F$15+2,$C$25:$BB$25,"&lt;="&amp;O$25))</f>
        <v/>
      </c>
      <c r="P48" s="23">
        <f>MAX(0,P45-SUMIFS($C$40:$BB$40,$C$25:$BB$25,"&gt;="&amp;P$25-$F$15+2,$C$25:$BB$25,"&lt;="&amp;P$25))</f>
        <v/>
      </c>
      <c r="Q48" s="23">
        <f>MAX(0,Q45-SUMIFS($C$40:$BB$40,$C$25:$BB$25,"&gt;="&amp;Q$25-$F$15+2,$C$25:$BB$25,"&lt;="&amp;Q$25))</f>
        <v/>
      </c>
      <c r="R48" s="23">
        <f>MAX(0,R45-SUMIFS($C$40:$BB$40,$C$25:$BB$25,"&gt;="&amp;R$25-$F$15+2,$C$25:$BB$25,"&lt;="&amp;R$25))</f>
        <v/>
      </c>
      <c r="S48" s="23">
        <f>MAX(0,S45-SUMIFS($C$40:$BB$40,$C$25:$BB$25,"&gt;="&amp;S$25-$F$15+2,$C$25:$BB$25,"&lt;="&amp;S$25))</f>
        <v/>
      </c>
      <c r="T48" s="23">
        <f>MAX(0,T45-SUMIFS($C$40:$BB$40,$C$25:$BB$25,"&gt;="&amp;T$25-$F$15+2,$C$25:$BB$25,"&lt;="&amp;T$25))</f>
        <v/>
      </c>
      <c r="U48" s="23">
        <f>MAX(0,U45-SUMIFS($C$40:$BB$40,$C$25:$BB$25,"&gt;="&amp;U$25-$F$15+2,$C$25:$BB$25,"&lt;="&amp;U$25))</f>
        <v/>
      </c>
      <c r="V48" s="23">
        <f>MAX(0,V45-SUMIFS($C$40:$BB$40,$C$25:$BB$25,"&gt;="&amp;V$25-$F$15+2,$C$25:$BB$25,"&lt;="&amp;V$25))</f>
        <v/>
      </c>
      <c r="W48" s="23">
        <f>MAX(0,W45-SUMIFS($C$40:$BB$40,$C$25:$BB$25,"&gt;="&amp;W$25-$F$15+2,$C$25:$BB$25,"&lt;="&amp;W$25))</f>
        <v/>
      </c>
      <c r="X48" s="23">
        <f>MAX(0,X45-SUMIFS($C$40:$BB$40,$C$25:$BB$25,"&gt;="&amp;X$25-$F$15+2,$C$25:$BB$25,"&lt;="&amp;X$25))</f>
        <v/>
      </c>
      <c r="Y48" s="23">
        <f>MAX(0,Y45-SUMIFS($C$40:$BB$40,$C$25:$BB$25,"&gt;="&amp;Y$25-$F$15+2,$C$25:$BB$25,"&lt;="&amp;Y$25))</f>
        <v/>
      </c>
      <c r="Z48" s="23">
        <f>MAX(0,Z45-SUMIFS($C$40:$BB$40,$C$25:$BB$25,"&gt;="&amp;Z$25-$F$15+2,$C$25:$BB$25,"&lt;="&amp;Z$25))</f>
        <v/>
      </c>
      <c r="AA48" s="23">
        <f>MAX(0,AA45-SUMIFS($C$40:$BB$40,$C$25:$BB$25,"&gt;="&amp;AA$25-$F$15+2,$C$25:$BB$25,"&lt;="&amp;AA$25))</f>
        <v/>
      </c>
      <c r="AB48" s="23">
        <f>MAX(0,AB45-SUMIFS($C$40:$BB$40,$C$25:$BB$25,"&gt;="&amp;AB$25-$F$15+2,$C$25:$BB$25,"&lt;="&amp;AB$25))</f>
        <v/>
      </c>
      <c r="AC48" s="23">
        <f>MAX(0,AC45-SUMIFS($C$40:$BB$40,$C$25:$BB$25,"&gt;="&amp;AC$25-$F$15+2,$C$25:$BB$25,"&lt;="&amp;AC$25))</f>
        <v/>
      </c>
      <c r="AD48" s="23">
        <f>MAX(0,AD45-SUMIFS($C$40:$BB$40,$C$25:$BB$25,"&gt;="&amp;AD$25-$F$15+2,$C$25:$BB$25,"&lt;="&amp;AD$25))</f>
        <v/>
      </c>
      <c r="AE48" s="23">
        <f>MAX(0,AE45-SUMIFS($C$40:$BB$40,$C$25:$BB$25,"&gt;="&amp;AE$25-$F$15+2,$C$25:$BB$25,"&lt;="&amp;AE$25))</f>
        <v/>
      </c>
      <c r="AF48" s="23">
        <f>MAX(0,AF45-SUMIFS($C$40:$BB$40,$C$25:$BB$25,"&gt;="&amp;AF$25-$F$15+2,$C$25:$BB$25,"&lt;="&amp;AF$25))</f>
        <v/>
      </c>
      <c r="AG48" s="23">
        <f>MAX(0,AG45-SUMIFS($C$40:$BB$40,$C$25:$BB$25,"&gt;="&amp;AG$25-$F$15+2,$C$25:$BB$25,"&lt;="&amp;AG$25))</f>
        <v/>
      </c>
      <c r="AH48" s="23">
        <f>MAX(0,AH45-SUMIFS($C$40:$BB$40,$C$25:$BB$25,"&gt;="&amp;AH$25-$F$15+2,$C$25:$BB$25,"&lt;="&amp;AH$25))</f>
        <v/>
      </c>
      <c r="AI48" s="23">
        <f>MAX(0,AI45-SUMIFS($C$40:$BB$40,$C$25:$BB$25,"&gt;="&amp;AI$25-$F$15+2,$C$25:$BB$25,"&lt;="&amp;AI$25))</f>
        <v/>
      </c>
      <c r="AJ48" s="23">
        <f>MAX(0,AJ45-SUMIFS($C$40:$BB$40,$C$25:$BB$25,"&gt;="&amp;AJ$25-$F$15+2,$C$25:$BB$25,"&lt;="&amp;AJ$25))</f>
        <v/>
      </c>
      <c r="AK48" s="23">
        <f>MAX(0,AK45-SUMIFS($C$40:$BB$40,$C$25:$BB$25,"&gt;="&amp;AK$25-$F$15+2,$C$25:$BB$25,"&lt;="&amp;AK$25))</f>
        <v/>
      </c>
      <c r="AL48" s="23">
        <f>MAX(0,AL45-SUMIFS($C$40:$BB$40,$C$25:$BB$25,"&gt;="&amp;AL$25-$F$15+2,$C$25:$BB$25,"&lt;="&amp;AL$25))</f>
        <v/>
      </c>
      <c r="AM48" s="23">
        <f>MAX(0,AM45-SUMIFS($C$40:$BB$40,$C$25:$BB$25,"&gt;="&amp;AM$25-$F$15+2,$C$25:$BB$25,"&lt;="&amp;AM$25))</f>
        <v/>
      </c>
      <c r="AN48" s="23">
        <f>MAX(0,AN45-SUMIFS($C$40:$BB$40,$C$25:$BB$25,"&gt;="&amp;AN$25-$F$15+2,$C$25:$BB$25,"&lt;="&amp;AN$25))</f>
        <v/>
      </c>
      <c r="AO48" s="23">
        <f>MAX(0,AO45-SUMIFS($C$40:$BB$40,$C$25:$BB$25,"&gt;="&amp;AO$25-$F$15+2,$C$25:$BB$25,"&lt;="&amp;AO$25))</f>
        <v/>
      </c>
      <c r="AP48" s="23">
        <f>MAX(0,AP45-SUMIFS($C$40:$BB$40,$C$25:$BB$25,"&gt;="&amp;AP$25-$F$15+2,$C$25:$BB$25,"&lt;="&amp;AP$25))</f>
        <v/>
      </c>
      <c r="AQ48" s="23">
        <f>MAX(0,AQ45-SUMIFS($C$40:$BB$40,$C$25:$BB$25,"&gt;="&amp;AQ$25-$F$15+2,$C$25:$BB$25,"&lt;="&amp;AQ$25))</f>
        <v/>
      </c>
      <c r="AR48" s="23">
        <f>MAX(0,AR45-SUMIFS($C$40:$BB$40,$C$25:$BB$25,"&gt;="&amp;AR$25-$F$15+2,$C$25:$BB$25,"&lt;="&amp;AR$25))</f>
        <v/>
      </c>
      <c r="AS48" s="23">
        <f>MAX(0,AS45-SUMIFS($C$40:$BB$40,$C$25:$BB$25,"&gt;="&amp;AS$25-$F$15+2,$C$25:$BB$25,"&lt;="&amp;AS$25))</f>
        <v/>
      </c>
      <c r="AT48" s="23">
        <f>MAX(0,AT45-SUMIFS($C$40:$BB$40,$C$25:$BB$25,"&gt;="&amp;AT$25-$F$15+2,$C$25:$BB$25,"&lt;="&amp;AT$25))</f>
        <v/>
      </c>
      <c r="AU48" s="23">
        <f>MAX(0,AU45-SUMIFS($C$40:$BB$40,$C$25:$BB$25,"&gt;="&amp;AU$25-$F$15+2,$C$25:$BB$25,"&lt;="&amp;AU$25))</f>
        <v/>
      </c>
      <c r="AV48" s="23">
        <f>MAX(0,AV45-SUMIFS($C$40:$BB$40,$C$25:$BB$25,"&gt;="&amp;AV$25-$F$15+2,$C$25:$BB$25,"&lt;="&amp;AV$25))</f>
        <v/>
      </c>
      <c r="AW48" s="23">
        <f>MAX(0,AW45-SUMIFS($C$40:$BB$40,$C$25:$BB$25,"&gt;="&amp;AW$25-$F$15+2,$C$25:$BB$25,"&lt;="&amp;AW$25))</f>
        <v/>
      </c>
      <c r="AX48" s="23">
        <f>MAX(0,AX45-SUMIFS($C$40:$BB$40,$C$25:$BB$25,"&gt;="&amp;AX$25-$F$15+2,$C$25:$BB$25,"&lt;="&amp;AX$25))</f>
        <v/>
      </c>
      <c r="AY48" s="23">
        <f>MAX(0,AY45-SUMIFS($C$40:$BB$40,$C$25:$BB$25,"&gt;="&amp;AY$25-$F$15+2,$C$25:$BB$25,"&lt;="&amp;AY$25))</f>
        <v/>
      </c>
      <c r="AZ48" s="23">
        <f>MAX(0,AZ45-SUMIFS($C$40:$BB$40,$C$25:$BB$25,"&gt;="&amp;AZ$25-$F$15+2,$C$25:$BB$25,"&lt;="&amp;AZ$25))</f>
        <v/>
      </c>
      <c r="BA48" s="23">
        <f>MAX(0,BA45-SUMIFS($C$40:$BB$40,$C$25:$BB$25,"&gt;="&amp;BA$25-$F$15+2,$C$25:$BB$25,"&lt;="&amp;BA$25))</f>
        <v/>
      </c>
      <c r="BB48" s="23">
        <f>MAX(0,BB45-SUMIFS($C$40:$BB$40,$C$25:$BB$25,"&gt;="&amp;BB$25-$F$15+2,$C$25:$BB$25,"&lt;="&amp;BB$25))</f>
        <v/>
      </c>
    </row>
    <row r="49">
      <c r="A49" s="4" t="inlineStr">
        <is>
          <t xml:space="preserve">   stock older than its shelf life — a WARNING here, a hard constraint in the app</t>
        </is>
      </c>
    </row>
    <row r="51">
      <c r="A51" s="2" t="inlineStr">
        <is>
          <t>KALE  —  cold store</t>
        </is>
      </c>
      <c r="B51" s="24" t="inlineStr"/>
    </row>
    <row r="52">
      <c r="A52" s="21" t="inlineStr">
        <is>
          <t>Harvested this week</t>
        </is>
      </c>
      <c r="B52" s="4" t="inlineStr">
        <is>
          <t>lb</t>
        </is>
      </c>
      <c r="C52" s="23">
        <f>C32+C34</f>
        <v/>
      </c>
      <c r="D52" s="23">
        <f>D32+D34</f>
        <v/>
      </c>
      <c r="E52" s="23">
        <f>E32+E34</f>
        <v/>
      </c>
      <c r="F52" s="23">
        <f>F32+F34</f>
        <v/>
      </c>
      <c r="G52" s="23">
        <f>G32+G34</f>
        <v/>
      </c>
      <c r="H52" s="23">
        <f>H32+H34</f>
        <v/>
      </c>
      <c r="I52" s="23">
        <f>I32+I34</f>
        <v/>
      </c>
      <c r="J52" s="23">
        <f>J32+J34</f>
        <v/>
      </c>
      <c r="K52" s="23">
        <f>K32+K34</f>
        <v/>
      </c>
      <c r="L52" s="23">
        <f>L32+L34</f>
        <v/>
      </c>
      <c r="M52" s="23">
        <f>M32+M34</f>
        <v/>
      </c>
      <c r="N52" s="23">
        <f>N32+N34</f>
        <v/>
      </c>
      <c r="O52" s="23">
        <f>O32+O34</f>
        <v/>
      </c>
      <c r="P52" s="23">
        <f>P32+P34</f>
        <v/>
      </c>
      <c r="Q52" s="23">
        <f>Q32+Q34</f>
        <v/>
      </c>
      <c r="R52" s="23">
        <f>R32+R34</f>
        <v/>
      </c>
      <c r="S52" s="23">
        <f>S32+S34</f>
        <v/>
      </c>
      <c r="T52" s="23">
        <f>T32+T34</f>
        <v/>
      </c>
      <c r="U52" s="23">
        <f>U32+U34</f>
        <v/>
      </c>
      <c r="V52" s="23">
        <f>V32+V34</f>
        <v/>
      </c>
      <c r="W52" s="23">
        <f>W32+W34</f>
        <v/>
      </c>
      <c r="X52" s="23">
        <f>X32+X34</f>
        <v/>
      </c>
      <c r="Y52" s="23">
        <f>Y32+Y34</f>
        <v/>
      </c>
      <c r="Z52" s="23">
        <f>Z32+Z34</f>
        <v/>
      </c>
      <c r="AA52" s="23">
        <f>AA32+AA34</f>
        <v/>
      </c>
      <c r="AB52" s="23">
        <f>AB32+AB34</f>
        <v/>
      </c>
      <c r="AC52" s="23">
        <f>AC32+AC34</f>
        <v/>
      </c>
      <c r="AD52" s="23">
        <f>AD32+AD34</f>
        <v/>
      </c>
      <c r="AE52" s="23">
        <f>AE32+AE34</f>
        <v/>
      </c>
      <c r="AF52" s="23">
        <f>AF32+AF34</f>
        <v/>
      </c>
      <c r="AG52" s="23">
        <f>AG32+AG34</f>
        <v/>
      </c>
      <c r="AH52" s="23">
        <f>AH32+AH34</f>
        <v/>
      </c>
      <c r="AI52" s="23">
        <f>AI32+AI34</f>
        <v/>
      </c>
      <c r="AJ52" s="23">
        <f>AJ32+AJ34</f>
        <v/>
      </c>
      <c r="AK52" s="23">
        <f>AK32+AK34</f>
        <v/>
      </c>
      <c r="AL52" s="23">
        <f>AL32+AL34</f>
        <v/>
      </c>
      <c r="AM52" s="23">
        <f>AM32+AM34</f>
        <v/>
      </c>
      <c r="AN52" s="23">
        <f>AN32+AN34</f>
        <v/>
      </c>
      <c r="AO52" s="23">
        <f>AO32+AO34</f>
        <v/>
      </c>
      <c r="AP52" s="23">
        <f>AP32+AP34</f>
        <v/>
      </c>
      <c r="AQ52" s="23">
        <f>AQ32+AQ34</f>
        <v/>
      </c>
      <c r="AR52" s="23">
        <f>AR32+AR34</f>
        <v/>
      </c>
      <c r="AS52" s="23">
        <f>AS32+AS34</f>
        <v/>
      </c>
      <c r="AT52" s="23">
        <f>AT32+AT34</f>
        <v/>
      </c>
      <c r="AU52" s="23">
        <f>AU32+AU34</f>
        <v/>
      </c>
      <c r="AV52" s="23">
        <f>AV32+AV34</f>
        <v/>
      </c>
      <c r="AW52" s="23">
        <f>AW32+AW34</f>
        <v/>
      </c>
      <c r="AX52" s="23">
        <f>AX32+AX34</f>
        <v/>
      </c>
      <c r="AY52" s="23">
        <f>AY32+AY34</f>
        <v/>
      </c>
      <c r="AZ52" s="23">
        <f>AZ32+AZ34</f>
        <v/>
      </c>
      <c r="BA52" s="23">
        <f>BA32+BA34</f>
        <v/>
      </c>
      <c r="BB52" s="23">
        <f>BB32+BB34</f>
        <v/>
      </c>
    </row>
    <row r="53">
      <c r="A53" s="21" t="inlineStr">
        <is>
          <t>Stock carried in</t>
        </is>
      </c>
      <c r="B53" s="4" t="inlineStr">
        <is>
          <t>lb</t>
        </is>
      </c>
      <c r="C53" s="23" t="n">
        <v>0</v>
      </c>
      <c r="D53" s="23">
        <f>C57</f>
        <v/>
      </c>
      <c r="E53" s="23">
        <f>D57</f>
        <v/>
      </c>
      <c r="F53" s="23">
        <f>E57</f>
        <v/>
      </c>
      <c r="G53" s="23">
        <f>F57</f>
        <v/>
      </c>
      <c r="H53" s="23">
        <f>G57</f>
        <v/>
      </c>
      <c r="I53" s="23">
        <f>H57</f>
        <v/>
      </c>
      <c r="J53" s="23">
        <f>I57</f>
        <v/>
      </c>
      <c r="K53" s="23">
        <f>J57</f>
        <v/>
      </c>
      <c r="L53" s="23">
        <f>K57</f>
        <v/>
      </c>
      <c r="M53" s="23">
        <f>L57</f>
        <v/>
      </c>
      <c r="N53" s="23">
        <f>M57</f>
        <v/>
      </c>
      <c r="O53" s="23">
        <f>N57</f>
        <v/>
      </c>
      <c r="P53" s="23">
        <f>O57</f>
        <v/>
      </c>
      <c r="Q53" s="23">
        <f>P57</f>
        <v/>
      </c>
      <c r="R53" s="23">
        <f>Q57</f>
        <v/>
      </c>
      <c r="S53" s="23">
        <f>R57</f>
        <v/>
      </c>
      <c r="T53" s="23">
        <f>S57</f>
        <v/>
      </c>
      <c r="U53" s="23">
        <f>T57</f>
        <v/>
      </c>
      <c r="V53" s="23">
        <f>U57</f>
        <v/>
      </c>
      <c r="W53" s="23">
        <f>V57</f>
        <v/>
      </c>
      <c r="X53" s="23">
        <f>W57</f>
        <v/>
      </c>
      <c r="Y53" s="23">
        <f>X57</f>
        <v/>
      </c>
      <c r="Z53" s="23">
        <f>Y57</f>
        <v/>
      </c>
      <c r="AA53" s="23">
        <f>Z57</f>
        <v/>
      </c>
      <c r="AB53" s="23">
        <f>AA57</f>
        <v/>
      </c>
      <c r="AC53" s="23">
        <f>AB57</f>
        <v/>
      </c>
      <c r="AD53" s="23">
        <f>AC57</f>
        <v/>
      </c>
      <c r="AE53" s="23">
        <f>AD57</f>
        <v/>
      </c>
      <c r="AF53" s="23">
        <f>AE57</f>
        <v/>
      </c>
      <c r="AG53" s="23">
        <f>AF57</f>
        <v/>
      </c>
      <c r="AH53" s="23">
        <f>AG57</f>
        <v/>
      </c>
      <c r="AI53" s="23">
        <f>AH57</f>
        <v/>
      </c>
      <c r="AJ53" s="23">
        <f>AI57</f>
        <v/>
      </c>
      <c r="AK53" s="23">
        <f>AJ57</f>
        <v/>
      </c>
      <c r="AL53" s="23">
        <f>AK57</f>
        <v/>
      </c>
      <c r="AM53" s="23">
        <f>AL57</f>
        <v/>
      </c>
      <c r="AN53" s="23">
        <f>AM57</f>
        <v/>
      </c>
      <c r="AO53" s="23">
        <f>AN57</f>
        <v/>
      </c>
      <c r="AP53" s="23">
        <f>AO57</f>
        <v/>
      </c>
      <c r="AQ53" s="23">
        <f>AP57</f>
        <v/>
      </c>
      <c r="AR53" s="23">
        <f>AQ57</f>
        <v/>
      </c>
      <c r="AS53" s="23">
        <f>AR57</f>
        <v/>
      </c>
      <c r="AT53" s="23">
        <f>AS57</f>
        <v/>
      </c>
      <c r="AU53" s="23">
        <f>AT57</f>
        <v/>
      </c>
      <c r="AV53" s="23">
        <f>AU57</f>
        <v/>
      </c>
      <c r="AW53" s="23">
        <f>AV57</f>
        <v/>
      </c>
      <c r="AX53" s="23">
        <f>AW57</f>
        <v/>
      </c>
      <c r="AY53" s="23">
        <f>AX57</f>
        <v/>
      </c>
      <c r="AZ53" s="23">
        <f>AY57</f>
        <v/>
      </c>
      <c r="BA53" s="23">
        <f>AZ57</f>
        <v/>
      </c>
      <c r="BB53" s="23">
        <f>BA57</f>
        <v/>
      </c>
    </row>
    <row r="54">
      <c r="A54" s="21" t="inlineStr">
        <is>
          <t xml:space="preserve">   lost to shrink</t>
        </is>
      </c>
      <c r="B54" s="4" t="inlineStr">
        <is>
          <t>lb</t>
        </is>
      </c>
      <c r="C54" s="23">
        <f>C53*$G$16</f>
        <v/>
      </c>
      <c r="D54" s="23">
        <f>D53*$G$16</f>
        <v/>
      </c>
      <c r="E54" s="23">
        <f>E53*$G$16</f>
        <v/>
      </c>
      <c r="F54" s="23">
        <f>F53*$G$16</f>
        <v/>
      </c>
      <c r="G54" s="23">
        <f>G53*$G$16</f>
        <v/>
      </c>
      <c r="H54" s="23">
        <f>H53*$G$16</f>
        <v/>
      </c>
      <c r="I54" s="23">
        <f>I53*$G$16</f>
        <v/>
      </c>
      <c r="J54" s="23">
        <f>J53*$G$16</f>
        <v/>
      </c>
      <c r="K54" s="23">
        <f>K53*$G$16</f>
        <v/>
      </c>
      <c r="L54" s="23">
        <f>L53*$G$16</f>
        <v/>
      </c>
      <c r="M54" s="23">
        <f>M53*$G$16</f>
        <v/>
      </c>
      <c r="N54" s="23">
        <f>N53*$G$16</f>
        <v/>
      </c>
      <c r="O54" s="23">
        <f>O53*$G$16</f>
        <v/>
      </c>
      <c r="P54" s="23">
        <f>P53*$G$16</f>
        <v/>
      </c>
      <c r="Q54" s="23">
        <f>Q53*$G$16</f>
        <v/>
      </c>
      <c r="R54" s="23">
        <f>R53*$G$16</f>
        <v/>
      </c>
      <c r="S54" s="23">
        <f>S53*$G$16</f>
        <v/>
      </c>
      <c r="T54" s="23">
        <f>T53*$G$16</f>
        <v/>
      </c>
      <c r="U54" s="23">
        <f>U53*$G$16</f>
        <v/>
      </c>
      <c r="V54" s="23">
        <f>V53*$G$16</f>
        <v/>
      </c>
      <c r="W54" s="23">
        <f>W53*$G$16</f>
        <v/>
      </c>
      <c r="X54" s="23">
        <f>X53*$G$16</f>
        <v/>
      </c>
      <c r="Y54" s="23">
        <f>Y53*$G$16</f>
        <v/>
      </c>
      <c r="Z54" s="23">
        <f>Z53*$G$16</f>
        <v/>
      </c>
      <c r="AA54" s="23">
        <f>AA53*$G$16</f>
        <v/>
      </c>
      <c r="AB54" s="23">
        <f>AB53*$G$16</f>
        <v/>
      </c>
      <c r="AC54" s="23">
        <f>AC53*$G$16</f>
        <v/>
      </c>
      <c r="AD54" s="23">
        <f>AD53*$G$16</f>
        <v/>
      </c>
      <c r="AE54" s="23">
        <f>AE53*$G$16</f>
        <v/>
      </c>
      <c r="AF54" s="23">
        <f>AF53*$G$16</f>
        <v/>
      </c>
      <c r="AG54" s="23">
        <f>AG53*$G$16</f>
        <v/>
      </c>
      <c r="AH54" s="23">
        <f>AH53*$G$16</f>
        <v/>
      </c>
      <c r="AI54" s="23">
        <f>AI53*$G$16</f>
        <v/>
      </c>
      <c r="AJ54" s="23">
        <f>AJ53*$G$16</f>
        <v/>
      </c>
      <c r="AK54" s="23">
        <f>AK53*$G$16</f>
        <v/>
      </c>
      <c r="AL54" s="23">
        <f>AL53*$G$16</f>
        <v/>
      </c>
      <c r="AM54" s="23">
        <f>AM53*$G$16</f>
        <v/>
      </c>
      <c r="AN54" s="23">
        <f>AN53*$G$16</f>
        <v/>
      </c>
      <c r="AO54" s="23">
        <f>AO53*$G$16</f>
        <v/>
      </c>
      <c r="AP54" s="23">
        <f>AP53*$G$16</f>
        <v/>
      </c>
      <c r="AQ54" s="23">
        <f>AQ53*$G$16</f>
        <v/>
      </c>
      <c r="AR54" s="23">
        <f>AR53*$G$16</f>
        <v/>
      </c>
      <c r="AS54" s="23">
        <f>AS53*$G$16</f>
        <v/>
      </c>
      <c r="AT54" s="23">
        <f>AT53*$G$16</f>
        <v/>
      </c>
      <c r="AU54" s="23">
        <f>AU53*$G$16</f>
        <v/>
      </c>
      <c r="AV54" s="23">
        <f>AV53*$G$16</f>
        <v/>
      </c>
      <c r="AW54" s="23">
        <f>AW53*$G$16</f>
        <v/>
      </c>
      <c r="AX54" s="23">
        <f>AX53*$G$16</f>
        <v/>
      </c>
      <c r="AY54" s="23">
        <f>AY53*$G$16</f>
        <v/>
      </c>
      <c r="AZ54" s="23">
        <f>AZ53*$G$16</f>
        <v/>
      </c>
      <c r="BA54" s="23">
        <f>BA53*$G$16</f>
        <v/>
      </c>
      <c r="BB54" s="23">
        <f>BB53*$G$16</f>
        <v/>
      </c>
    </row>
    <row r="55">
      <c r="A55" s="21" t="inlineStr">
        <is>
          <t>Available to sell</t>
        </is>
      </c>
      <c r="B55" s="4" t="inlineStr">
        <is>
          <t>lb</t>
        </is>
      </c>
      <c r="C55" s="23">
        <f>C53-C54+C52</f>
        <v/>
      </c>
      <c r="D55" s="23">
        <f>D53-D54+D52</f>
        <v/>
      </c>
      <c r="E55" s="23">
        <f>E53-E54+E52</f>
        <v/>
      </c>
      <c r="F55" s="23">
        <f>F53-F54+F52</f>
        <v/>
      </c>
      <c r="G55" s="23">
        <f>G53-G54+G52</f>
        <v/>
      </c>
      <c r="H55" s="23">
        <f>H53-H54+H52</f>
        <v/>
      </c>
      <c r="I55" s="23">
        <f>I53-I54+I52</f>
        <v/>
      </c>
      <c r="J55" s="23">
        <f>J53-J54+J52</f>
        <v/>
      </c>
      <c r="K55" s="23">
        <f>K53-K54+K52</f>
        <v/>
      </c>
      <c r="L55" s="23">
        <f>L53-L54+L52</f>
        <v/>
      </c>
      <c r="M55" s="23">
        <f>M53-M54+M52</f>
        <v/>
      </c>
      <c r="N55" s="23">
        <f>N53-N54+N52</f>
        <v/>
      </c>
      <c r="O55" s="23">
        <f>O53-O54+O52</f>
        <v/>
      </c>
      <c r="P55" s="23">
        <f>P53-P54+P52</f>
        <v/>
      </c>
      <c r="Q55" s="23">
        <f>Q53-Q54+Q52</f>
        <v/>
      </c>
      <c r="R55" s="23">
        <f>R53-R54+R52</f>
        <v/>
      </c>
      <c r="S55" s="23">
        <f>S53-S54+S52</f>
        <v/>
      </c>
      <c r="T55" s="23">
        <f>T53-T54+T52</f>
        <v/>
      </c>
      <c r="U55" s="23">
        <f>U53-U54+U52</f>
        <v/>
      </c>
      <c r="V55" s="23">
        <f>V53-V54+V52</f>
        <v/>
      </c>
      <c r="W55" s="23">
        <f>W53-W54+W52</f>
        <v/>
      </c>
      <c r="X55" s="23">
        <f>X53-X54+X52</f>
        <v/>
      </c>
      <c r="Y55" s="23">
        <f>Y53-Y54+Y52</f>
        <v/>
      </c>
      <c r="Z55" s="23">
        <f>Z53-Z54+Z52</f>
        <v/>
      </c>
      <c r="AA55" s="23">
        <f>AA53-AA54+AA52</f>
        <v/>
      </c>
      <c r="AB55" s="23">
        <f>AB53-AB54+AB52</f>
        <v/>
      </c>
      <c r="AC55" s="23">
        <f>AC53-AC54+AC52</f>
        <v/>
      </c>
      <c r="AD55" s="23">
        <f>AD53-AD54+AD52</f>
        <v/>
      </c>
      <c r="AE55" s="23">
        <f>AE53-AE54+AE52</f>
        <v/>
      </c>
      <c r="AF55" s="23">
        <f>AF53-AF54+AF52</f>
        <v/>
      </c>
      <c r="AG55" s="23">
        <f>AG53-AG54+AG52</f>
        <v/>
      </c>
      <c r="AH55" s="23">
        <f>AH53-AH54+AH52</f>
        <v/>
      </c>
      <c r="AI55" s="23">
        <f>AI53-AI54+AI52</f>
        <v/>
      </c>
      <c r="AJ55" s="23">
        <f>AJ53-AJ54+AJ52</f>
        <v/>
      </c>
      <c r="AK55" s="23">
        <f>AK53-AK54+AK52</f>
        <v/>
      </c>
      <c r="AL55" s="23">
        <f>AL53-AL54+AL52</f>
        <v/>
      </c>
      <c r="AM55" s="23">
        <f>AM53-AM54+AM52</f>
        <v/>
      </c>
      <c r="AN55" s="23">
        <f>AN53-AN54+AN52</f>
        <v/>
      </c>
      <c r="AO55" s="23">
        <f>AO53-AO54+AO52</f>
        <v/>
      </c>
      <c r="AP55" s="23">
        <f>AP53-AP54+AP52</f>
        <v/>
      </c>
      <c r="AQ55" s="23">
        <f>AQ53-AQ54+AQ52</f>
        <v/>
      </c>
      <c r="AR55" s="23">
        <f>AR53-AR54+AR52</f>
        <v/>
      </c>
      <c r="AS55" s="23">
        <f>AS53-AS54+AS52</f>
        <v/>
      </c>
      <c r="AT55" s="23">
        <f>AT53-AT54+AT52</f>
        <v/>
      </c>
      <c r="AU55" s="23">
        <f>AU53-AU54+AU52</f>
        <v/>
      </c>
      <c r="AV55" s="23">
        <f>AV53-AV54+AV52</f>
        <v/>
      </c>
      <c r="AW55" s="23">
        <f>AW53-AW54+AW52</f>
        <v/>
      </c>
      <c r="AX55" s="23">
        <f>AX53-AX54+AX52</f>
        <v/>
      </c>
      <c r="AY55" s="23">
        <f>AY53-AY54+AY52</f>
        <v/>
      </c>
      <c r="AZ55" s="23">
        <f>AZ53-AZ54+AZ52</f>
        <v/>
      </c>
      <c r="BA55" s="23">
        <f>BA53-BA54+BA52</f>
        <v/>
      </c>
      <c r="BB55" s="23">
        <f>BB53-BB54+BB52</f>
        <v/>
      </c>
    </row>
    <row r="56">
      <c r="A56" s="21" t="inlineStr">
        <is>
          <t>Sold</t>
        </is>
      </c>
      <c r="B56" s="4" t="inlineStr">
        <is>
          <t>lb</t>
        </is>
      </c>
      <c r="C56" s="23">
        <f>MIN(C55,$H$16)</f>
        <v/>
      </c>
      <c r="D56" s="23">
        <f>MIN(D55,$H$16)</f>
        <v/>
      </c>
      <c r="E56" s="23">
        <f>MIN(E55,$H$16)</f>
        <v/>
      </c>
      <c r="F56" s="23">
        <f>MIN(F55,$H$16)</f>
        <v/>
      </c>
      <c r="G56" s="23">
        <f>MIN(G55,$H$16)</f>
        <v/>
      </c>
      <c r="H56" s="23">
        <f>MIN(H55,$H$16)</f>
        <v/>
      </c>
      <c r="I56" s="23">
        <f>MIN(I55,$H$16)</f>
        <v/>
      </c>
      <c r="J56" s="23">
        <f>MIN(J55,$H$16)</f>
        <v/>
      </c>
      <c r="K56" s="23">
        <f>MIN(K55,$H$16)</f>
        <v/>
      </c>
      <c r="L56" s="23">
        <f>MIN(L55,$H$16)</f>
        <v/>
      </c>
      <c r="M56" s="23">
        <f>MIN(M55,$H$16)</f>
        <v/>
      </c>
      <c r="N56" s="23">
        <f>MIN(N55,$H$16)</f>
        <v/>
      </c>
      <c r="O56" s="23">
        <f>MIN(O55,$H$16)</f>
        <v/>
      </c>
      <c r="P56" s="23">
        <f>MIN(P55,$H$16)</f>
        <v/>
      </c>
      <c r="Q56" s="23">
        <f>MIN(Q55,$H$16)</f>
        <v/>
      </c>
      <c r="R56" s="23">
        <f>MIN(R55,$H$16)</f>
        <v/>
      </c>
      <c r="S56" s="23">
        <f>MIN(S55,$H$16)</f>
        <v/>
      </c>
      <c r="T56" s="23">
        <f>MIN(T55,$H$16)</f>
        <v/>
      </c>
      <c r="U56" s="23">
        <f>MIN(U55,$H$16)</f>
        <v/>
      </c>
      <c r="V56" s="23">
        <f>MIN(V55,$H$16)</f>
        <v/>
      </c>
      <c r="W56" s="23">
        <f>MIN(W55,$H$16)</f>
        <v/>
      </c>
      <c r="X56" s="23">
        <f>MIN(X55,$H$16)</f>
        <v/>
      </c>
      <c r="Y56" s="23">
        <f>MIN(Y55,$H$16)</f>
        <v/>
      </c>
      <c r="Z56" s="23">
        <f>MIN(Z55,$H$16)</f>
        <v/>
      </c>
      <c r="AA56" s="23">
        <f>MIN(AA55,$H$16)</f>
        <v/>
      </c>
      <c r="AB56" s="23">
        <f>MIN(AB55,$H$16)</f>
        <v/>
      </c>
      <c r="AC56" s="23">
        <f>MIN(AC55,$H$16)</f>
        <v/>
      </c>
      <c r="AD56" s="23">
        <f>MIN(AD55,$H$16)</f>
        <v/>
      </c>
      <c r="AE56" s="23">
        <f>MIN(AE55,$H$16)</f>
        <v/>
      </c>
      <c r="AF56" s="23">
        <f>MIN(AF55,$H$16)</f>
        <v/>
      </c>
      <c r="AG56" s="23">
        <f>MIN(AG55,$H$16)</f>
        <v/>
      </c>
      <c r="AH56" s="23">
        <f>MIN(AH55,$H$16)</f>
        <v/>
      </c>
      <c r="AI56" s="23">
        <f>MIN(AI55,$H$16)</f>
        <v/>
      </c>
      <c r="AJ56" s="23">
        <f>MIN(AJ55,$H$16)</f>
        <v/>
      </c>
      <c r="AK56" s="23">
        <f>MIN(AK55,$H$16)</f>
        <v/>
      </c>
      <c r="AL56" s="23">
        <f>MIN(AL55,$H$16)</f>
        <v/>
      </c>
      <c r="AM56" s="23">
        <f>MIN(AM55,$H$16)</f>
        <v/>
      </c>
      <c r="AN56" s="23">
        <f>MIN(AN55,$H$16)</f>
        <v/>
      </c>
      <c r="AO56" s="23">
        <f>MIN(AO55,$H$16)</f>
        <v/>
      </c>
      <c r="AP56" s="23">
        <f>MIN(AP55,$H$16)</f>
        <v/>
      </c>
      <c r="AQ56" s="23">
        <f>MIN(AQ55,$H$16)</f>
        <v/>
      </c>
      <c r="AR56" s="23">
        <f>MIN(AR55,$H$16)</f>
        <v/>
      </c>
      <c r="AS56" s="23">
        <f>MIN(AS55,$H$16)</f>
        <v/>
      </c>
      <c r="AT56" s="23">
        <f>MIN(AT55,$H$16)</f>
        <v/>
      </c>
      <c r="AU56" s="23">
        <f>MIN(AU55,$H$16)</f>
        <v/>
      </c>
      <c r="AV56" s="23">
        <f>MIN(AV55,$H$16)</f>
        <v/>
      </c>
      <c r="AW56" s="23">
        <f>MIN(AW55,$H$16)</f>
        <v/>
      </c>
      <c r="AX56" s="23">
        <f>MIN(AX55,$H$16)</f>
        <v/>
      </c>
      <c r="AY56" s="23">
        <f>MIN(AY55,$H$16)</f>
        <v/>
      </c>
      <c r="AZ56" s="23">
        <f>MIN(AZ55,$H$16)</f>
        <v/>
      </c>
      <c r="BA56" s="23">
        <f>MIN(BA55,$H$16)</f>
        <v/>
      </c>
      <c r="BB56" s="23">
        <f>MIN(BB55,$H$16)</f>
        <v/>
      </c>
    </row>
    <row r="57">
      <c r="A57" s="3" t="inlineStr">
        <is>
          <t>Stock carried out</t>
        </is>
      </c>
      <c r="B57" s="4" t="inlineStr">
        <is>
          <t>lb</t>
        </is>
      </c>
      <c r="C57" s="23">
        <f>C55-C56</f>
        <v/>
      </c>
      <c r="D57" s="23">
        <f>D55-D56</f>
        <v/>
      </c>
      <c r="E57" s="23">
        <f>E55-E56</f>
        <v/>
      </c>
      <c r="F57" s="23">
        <f>F55-F56</f>
        <v/>
      </c>
      <c r="G57" s="23">
        <f>G55-G56</f>
        <v/>
      </c>
      <c r="H57" s="23">
        <f>H55-H56</f>
        <v/>
      </c>
      <c r="I57" s="23">
        <f>I55-I56</f>
        <v/>
      </c>
      <c r="J57" s="23">
        <f>J55-J56</f>
        <v/>
      </c>
      <c r="K57" s="23">
        <f>K55-K56</f>
        <v/>
      </c>
      <c r="L57" s="23">
        <f>L55-L56</f>
        <v/>
      </c>
      <c r="M57" s="23">
        <f>M55-M56</f>
        <v/>
      </c>
      <c r="N57" s="23">
        <f>N55-N56</f>
        <v/>
      </c>
      <c r="O57" s="23">
        <f>O55-O56</f>
        <v/>
      </c>
      <c r="P57" s="23">
        <f>P55-P56</f>
        <v/>
      </c>
      <c r="Q57" s="23">
        <f>Q55-Q56</f>
        <v/>
      </c>
      <c r="R57" s="23">
        <f>R55-R56</f>
        <v/>
      </c>
      <c r="S57" s="23">
        <f>S55-S56</f>
        <v/>
      </c>
      <c r="T57" s="23">
        <f>T55-T56</f>
        <v/>
      </c>
      <c r="U57" s="23">
        <f>U55-U56</f>
        <v/>
      </c>
      <c r="V57" s="23">
        <f>V55-V56</f>
        <v/>
      </c>
      <c r="W57" s="23">
        <f>W55-W56</f>
        <v/>
      </c>
      <c r="X57" s="23">
        <f>X55-X56</f>
        <v/>
      </c>
      <c r="Y57" s="23">
        <f>Y55-Y56</f>
        <v/>
      </c>
      <c r="Z57" s="23">
        <f>Z55-Z56</f>
        <v/>
      </c>
      <c r="AA57" s="23">
        <f>AA55-AA56</f>
        <v/>
      </c>
      <c r="AB57" s="23">
        <f>AB55-AB56</f>
        <v/>
      </c>
      <c r="AC57" s="23">
        <f>AC55-AC56</f>
        <v/>
      </c>
      <c r="AD57" s="23">
        <f>AD55-AD56</f>
        <v/>
      </c>
      <c r="AE57" s="23">
        <f>AE55-AE56</f>
        <v/>
      </c>
      <c r="AF57" s="23">
        <f>AF55-AF56</f>
        <v/>
      </c>
      <c r="AG57" s="23">
        <f>AG55-AG56</f>
        <v/>
      </c>
      <c r="AH57" s="23">
        <f>AH55-AH56</f>
        <v/>
      </c>
      <c r="AI57" s="23">
        <f>AI55-AI56</f>
        <v/>
      </c>
      <c r="AJ57" s="23">
        <f>AJ55-AJ56</f>
        <v/>
      </c>
      <c r="AK57" s="23">
        <f>AK55-AK56</f>
        <v/>
      </c>
      <c r="AL57" s="23">
        <f>AL55-AL56</f>
        <v/>
      </c>
      <c r="AM57" s="23">
        <f>AM55-AM56</f>
        <v/>
      </c>
      <c r="AN57" s="23">
        <f>AN55-AN56</f>
        <v/>
      </c>
      <c r="AO57" s="23">
        <f>AO55-AO56</f>
        <v/>
      </c>
      <c r="AP57" s="23">
        <f>AP55-AP56</f>
        <v/>
      </c>
      <c r="AQ57" s="23">
        <f>AQ55-AQ56</f>
        <v/>
      </c>
      <c r="AR57" s="23">
        <f>AR55-AR56</f>
        <v/>
      </c>
      <c r="AS57" s="23">
        <f>AS55-AS56</f>
        <v/>
      </c>
      <c r="AT57" s="23">
        <f>AT55-AT56</f>
        <v/>
      </c>
      <c r="AU57" s="23">
        <f>AU55-AU56</f>
        <v/>
      </c>
      <c r="AV57" s="23">
        <f>AV55-AV56</f>
        <v/>
      </c>
      <c r="AW57" s="23">
        <f>AW55-AW56</f>
        <v/>
      </c>
      <c r="AX57" s="23">
        <f>AX55-AX56</f>
        <v/>
      </c>
      <c r="AY57" s="23">
        <f>AY55-AY56</f>
        <v/>
      </c>
      <c r="AZ57" s="23">
        <f>AZ55-AZ56</f>
        <v/>
      </c>
      <c r="BA57" s="23">
        <f>BA55-BA56</f>
        <v/>
      </c>
      <c r="BB57" s="23">
        <f>BB55-BB56</f>
        <v/>
      </c>
    </row>
    <row r="58">
      <c r="A58" s="3" t="inlineStr">
        <is>
          <t>ROOM OCCUPANCY</t>
        </is>
      </c>
      <c r="B58" s="4" t="inlineStr">
        <is>
          <t>m3</t>
        </is>
      </c>
      <c r="C58" s="25">
        <f>(C53+C52)*$D$16</f>
        <v/>
      </c>
      <c r="D58" s="25">
        <f>(D53+D52)*$D$16</f>
        <v/>
      </c>
      <c r="E58" s="25">
        <f>(E53+E52)*$D$16</f>
        <v/>
      </c>
      <c r="F58" s="25">
        <f>(F53+F52)*$D$16</f>
        <v/>
      </c>
      <c r="G58" s="25">
        <f>(G53+G52)*$D$16</f>
        <v/>
      </c>
      <c r="H58" s="25">
        <f>(H53+H52)*$D$16</f>
        <v/>
      </c>
      <c r="I58" s="25">
        <f>(I53+I52)*$D$16</f>
        <v/>
      </c>
      <c r="J58" s="25">
        <f>(J53+J52)*$D$16</f>
        <v/>
      </c>
      <c r="K58" s="25">
        <f>(K53+K52)*$D$16</f>
        <v/>
      </c>
      <c r="L58" s="25">
        <f>(L53+L52)*$D$16</f>
        <v/>
      </c>
      <c r="M58" s="25">
        <f>(M53+M52)*$D$16</f>
        <v/>
      </c>
      <c r="N58" s="25">
        <f>(N53+N52)*$D$16</f>
        <v/>
      </c>
      <c r="O58" s="25">
        <f>(O53+O52)*$D$16</f>
        <v/>
      </c>
      <c r="P58" s="25">
        <f>(P53+P52)*$D$16</f>
        <v/>
      </c>
      <c r="Q58" s="25">
        <f>(Q53+Q52)*$D$16</f>
        <v/>
      </c>
      <c r="R58" s="25">
        <f>(R53+R52)*$D$16</f>
        <v/>
      </c>
      <c r="S58" s="25">
        <f>(S53+S52)*$D$16</f>
        <v/>
      </c>
      <c r="T58" s="25">
        <f>(T53+T52)*$D$16</f>
        <v/>
      </c>
      <c r="U58" s="25">
        <f>(U53+U52)*$D$16</f>
        <v/>
      </c>
      <c r="V58" s="25">
        <f>(V53+V52)*$D$16</f>
        <v/>
      </c>
      <c r="W58" s="25">
        <f>(W53+W52)*$D$16</f>
        <v/>
      </c>
      <c r="X58" s="25">
        <f>(X53+X52)*$D$16</f>
        <v/>
      </c>
      <c r="Y58" s="25">
        <f>(Y53+Y52)*$D$16</f>
        <v/>
      </c>
      <c r="Z58" s="25">
        <f>(Z53+Z52)*$D$16</f>
        <v/>
      </c>
      <c r="AA58" s="25">
        <f>(AA53+AA52)*$D$16</f>
        <v/>
      </c>
      <c r="AB58" s="25">
        <f>(AB53+AB52)*$D$16</f>
        <v/>
      </c>
      <c r="AC58" s="25">
        <f>(AC53+AC52)*$D$16</f>
        <v/>
      </c>
      <c r="AD58" s="25">
        <f>(AD53+AD52)*$D$16</f>
        <v/>
      </c>
      <c r="AE58" s="25">
        <f>(AE53+AE52)*$D$16</f>
        <v/>
      </c>
      <c r="AF58" s="25">
        <f>(AF53+AF52)*$D$16</f>
        <v/>
      </c>
      <c r="AG58" s="25">
        <f>(AG53+AG52)*$D$16</f>
        <v/>
      </c>
      <c r="AH58" s="25">
        <f>(AH53+AH52)*$D$16</f>
        <v/>
      </c>
      <c r="AI58" s="25">
        <f>(AI53+AI52)*$D$16</f>
        <v/>
      </c>
      <c r="AJ58" s="25">
        <f>(AJ53+AJ52)*$D$16</f>
        <v/>
      </c>
      <c r="AK58" s="25">
        <f>(AK53+AK52)*$D$16</f>
        <v/>
      </c>
      <c r="AL58" s="25">
        <f>(AL53+AL52)*$D$16</f>
        <v/>
      </c>
      <c r="AM58" s="25">
        <f>(AM53+AM52)*$D$16</f>
        <v/>
      </c>
      <c r="AN58" s="25">
        <f>(AN53+AN52)*$D$16</f>
        <v/>
      </c>
      <c r="AO58" s="25">
        <f>(AO53+AO52)*$D$16</f>
        <v/>
      </c>
      <c r="AP58" s="25">
        <f>(AP53+AP52)*$D$16</f>
        <v/>
      </c>
      <c r="AQ58" s="25">
        <f>(AQ53+AQ52)*$D$16</f>
        <v/>
      </c>
      <c r="AR58" s="25">
        <f>(AR53+AR52)*$D$16</f>
        <v/>
      </c>
      <c r="AS58" s="25">
        <f>(AS53+AS52)*$D$16</f>
        <v/>
      </c>
      <c r="AT58" s="25">
        <f>(AT53+AT52)*$D$16</f>
        <v/>
      </c>
      <c r="AU58" s="25">
        <f>(AU53+AU52)*$D$16</f>
        <v/>
      </c>
      <c r="AV58" s="25">
        <f>(AV53+AV52)*$D$16</f>
        <v/>
      </c>
      <c r="AW58" s="25">
        <f>(AW53+AW52)*$D$16</f>
        <v/>
      </c>
      <c r="AX58" s="25">
        <f>(AX53+AX52)*$D$16</f>
        <v/>
      </c>
      <c r="AY58" s="25">
        <f>(AY53+AY52)*$D$16</f>
        <v/>
      </c>
      <c r="AZ58" s="25">
        <f>(AZ53+AZ52)*$D$16</f>
        <v/>
      </c>
      <c r="BA58" s="25">
        <f>(BA53+BA52)*$D$16</f>
        <v/>
      </c>
      <c r="BB58" s="25">
        <f>(BB53+BB52)*$D$16</f>
        <v/>
      </c>
    </row>
    <row r="59">
      <c r="A59" s="4" t="inlineStr">
        <is>
          <t xml:space="preserve">   = carried in + ALL of this week's harvest, before any of it ships</t>
        </is>
      </c>
    </row>
    <row r="60">
      <c r="A60" s="21" t="inlineStr">
        <is>
          <t>Over shelf life?</t>
        </is>
      </c>
      <c r="B60" s="4" t="inlineStr">
        <is>
          <t>lb</t>
        </is>
      </c>
      <c r="C60" s="23">
        <f>MAX(0,C57-SUMIFS($C$52:$BB$52,$C$25:$BB$25,"&gt;="&amp;C$25-$F$16+2,$C$25:$BB$25,"&lt;="&amp;C$25))</f>
        <v/>
      </c>
      <c r="D60" s="23">
        <f>MAX(0,D57-SUMIFS($C$52:$BB$52,$C$25:$BB$25,"&gt;="&amp;D$25-$F$16+2,$C$25:$BB$25,"&lt;="&amp;D$25))</f>
        <v/>
      </c>
      <c r="E60" s="23">
        <f>MAX(0,E57-SUMIFS($C$52:$BB$52,$C$25:$BB$25,"&gt;="&amp;E$25-$F$16+2,$C$25:$BB$25,"&lt;="&amp;E$25))</f>
        <v/>
      </c>
      <c r="F60" s="23">
        <f>MAX(0,F57-SUMIFS($C$52:$BB$52,$C$25:$BB$25,"&gt;="&amp;F$25-$F$16+2,$C$25:$BB$25,"&lt;="&amp;F$25))</f>
        <v/>
      </c>
      <c r="G60" s="23">
        <f>MAX(0,G57-SUMIFS($C$52:$BB$52,$C$25:$BB$25,"&gt;="&amp;G$25-$F$16+2,$C$25:$BB$25,"&lt;="&amp;G$25))</f>
        <v/>
      </c>
      <c r="H60" s="23">
        <f>MAX(0,H57-SUMIFS($C$52:$BB$52,$C$25:$BB$25,"&gt;="&amp;H$25-$F$16+2,$C$25:$BB$25,"&lt;="&amp;H$25))</f>
        <v/>
      </c>
      <c r="I60" s="23">
        <f>MAX(0,I57-SUMIFS($C$52:$BB$52,$C$25:$BB$25,"&gt;="&amp;I$25-$F$16+2,$C$25:$BB$25,"&lt;="&amp;I$25))</f>
        <v/>
      </c>
      <c r="J60" s="23">
        <f>MAX(0,J57-SUMIFS($C$52:$BB$52,$C$25:$BB$25,"&gt;="&amp;J$25-$F$16+2,$C$25:$BB$25,"&lt;="&amp;J$25))</f>
        <v/>
      </c>
      <c r="K60" s="23">
        <f>MAX(0,K57-SUMIFS($C$52:$BB$52,$C$25:$BB$25,"&gt;="&amp;K$25-$F$16+2,$C$25:$BB$25,"&lt;="&amp;K$25))</f>
        <v/>
      </c>
      <c r="L60" s="23">
        <f>MAX(0,L57-SUMIFS($C$52:$BB$52,$C$25:$BB$25,"&gt;="&amp;L$25-$F$16+2,$C$25:$BB$25,"&lt;="&amp;L$25))</f>
        <v/>
      </c>
      <c r="M60" s="23">
        <f>MAX(0,M57-SUMIFS($C$52:$BB$52,$C$25:$BB$25,"&gt;="&amp;M$25-$F$16+2,$C$25:$BB$25,"&lt;="&amp;M$25))</f>
        <v/>
      </c>
      <c r="N60" s="23">
        <f>MAX(0,N57-SUMIFS($C$52:$BB$52,$C$25:$BB$25,"&gt;="&amp;N$25-$F$16+2,$C$25:$BB$25,"&lt;="&amp;N$25))</f>
        <v/>
      </c>
      <c r="O60" s="23">
        <f>MAX(0,O57-SUMIFS($C$52:$BB$52,$C$25:$BB$25,"&gt;="&amp;O$25-$F$16+2,$C$25:$BB$25,"&lt;="&amp;O$25))</f>
        <v/>
      </c>
      <c r="P60" s="23">
        <f>MAX(0,P57-SUMIFS($C$52:$BB$52,$C$25:$BB$25,"&gt;="&amp;P$25-$F$16+2,$C$25:$BB$25,"&lt;="&amp;P$25))</f>
        <v/>
      </c>
      <c r="Q60" s="23">
        <f>MAX(0,Q57-SUMIFS($C$52:$BB$52,$C$25:$BB$25,"&gt;="&amp;Q$25-$F$16+2,$C$25:$BB$25,"&lt;="&amp;Q$25))</f>
        <v/>
      </c>
      <c r="R60" s="23">
        <f>MAX(0,R57-SUMIFS($C$52:$BB$52,$C$25:$BB$25,"&gt;="&amp;R$25-$F$16+2,$C$25:$BB$25,"&lt;="&amp;R$25))</f>
        <v/>
      </c>
      <c r="S60" s="23">
        <f>MAX(0,S57-SUMIFS($C$52:$BB$52,$C$25:$BB$25,"&gt;="&amp;S$25-$F$16+2,$C$25:$BB$25,"&lt;="&amp;S$25))</f>
        <v/>
      </c>
      <c r="T60" s="23">
        <f>MAX(0,T57-SUMIFS($C$52:$BB$52,$C$25:$BB$25,"&gt;="&amp;T$25-$F$16+2,$C$25:$BB$25,"&lt;="&amp;T$25))</f>
        <v/>
      </c>
      <c r="U60" s="23">
        <f>MAX(0,U57-SUMIFS($C$52:$BB$52,$C$25:$BB$25,"&gt;="&amp;U$25-$F$16+2,$C$25:$BB$25,"&lt;="&amp;U$25))</f>
        <v/>
      </c>
      <c r="V60" s="23">
        <f>MAX(0,V57-SUMIFS($C$52:$BB$52,$C$25:$BB$25,"&gt;="&amp;V$25-$F$16+2,$C$25:$BB$25,"&lt;="&amp;V$25))</f>
        <v/>
      </c>
      <c r="W60" s="23">
        <f>MAX(0,W57-SUMIFS($C$52:$BB$52,$C$25:$BB$25,"&gt;="&amp;W$25-$F$16+2,$C$25:$BB$25,"&lt;="&amp;W$25))</f>
        <v/>
      </c>
      <c r="X60" s="23">
        <f>MAX(0,X57-SUMIFS($C$52:$BB$52,$C$25:$BB$25,"&gt;="&amp;X$25-$F$16+2,$C$25:$BB$25,"&lt;="&amp;X$25))</f>
        <v/>
      </c>
      <c r="Y60" s="23">
        <f>MAX(0,Y57-SUMIFS($C$52:$BB$52,$C$25:$BB$25,"&gt;="&amp;Y$25-$F$16+2,$C$25:$BB$25,"&lt;="&amp;Y$25))</f>
        <v/>
      </c>
      <c r="Z60" s="23">
        <f>MAX(0,Z57-SUMIFS($C$52:$BB$52,$C$25:$BB$25,"&gt;="&amp;Z$25-$F$16+2,$C$25:$BB$25,"&lt;="&amp;Z$25))</f>
        <v/>
      </c>
      <c r="AA60" s="23">
        <f>MAX(0,AA57-SUMIFS($C$52:$BB$52,$C$25:$BB$25,"&gt;="&amp;AA$25-$F$16+2,$C$25:$BB$25,"&lt;="&amp;AA$25))</f>
        <v/>
      </c>
      <c r="AB60" s="23">
        <f>MAX(0,AB57-SUMIFS($C$52:$BB$52,$C$25:$BB$25,"&gt;="&amp;AB$25-$F$16+2,$C$25:$BB$25,"&lt;="&amp;AB$25))</f>
        <v/>
      </c>
      <c r="AC60" s="23">
        <f>MAX(0,AC57-SUMIFS($C$52:$BB$52,$C$25:$BB$25,"&gt;="&amp;AC$25-$F$16+2,$C$25:$BB$25,"&lt;="&amp;AC$25))</f>
        <v/>
      </c>
      <c r="AD60" s="23">
        <f>MAX(0,AD57-SUMIFS($C$52:$BB$52,$C$25:$BB$25,"&gt;="&amp;AD$25-$F$16+2,$C$25:$BB$25,"&lt;="&amp;AD$25))</f>
        <v/>
      </c>
      <c r="AE60" s="23">
        <f>MAX(0,AE57-SUMIFS($C$52:$BB$52,$C$25:$BB$25,"&gt;="&amp;AE$25-$F$16+2,$C$25:$BB$25,"&lt;="&amp;AE$25))</f>
        <v/>
      </c>
      <c r="AF60" s="23">
        <f>MAX(0,AF57-SUMIFS($C$52:$BB$52,$C$25:$BB$25,"&gt;="&amp;AF$25-$F$16+2,$C$25:$BB$25,"&lt;="&amp;AF$25))</f>
        <v/>
      </c>
      <c r="AG60" s="23">
        <f>MAX(0,AG57-SUMIFS($C$52:$BB$52,$C$25:$BB$25,"&gt;="&amp;AG$25-$F$16+2,$C$25:$BB$25,"&lt;="&amp;AG$25))</f>
        <v/>
      </c>
      <c r="AH60" s="23">
        <f>MAX(0,AH57-SUMIFS($C$52:$BB$52,$C$25:$BB$25,"&gt;="&amp;AH$25-$F$16+2,$C$25:$BB$25,"&lt;="&amp;AH$25))</f>
        <v/>
      </c>
      <c r="AI60" s="23">
        <f>MAX(0,AI57-SUMIFS($C$52:$BB$52,$C$25:$BB$25,"&gt;="&amp;AI$25-$F$16+2,$C$25:$BB$25,"&lt;="&amp;AI$25))</f>
        <v/>
      </c>
      <c r="AJ60" s="23">
        <f>MAX(0,AJ57-SUMIFS($C$52:$BB$52,$C$25:$BB$25,"&gt;="&amp;AJ$25-$F$16+2,$C$25:$BB$25,"&lt;="&amp;AJ$25))</f>
        <v/>
      </c>
      <c r="AK60" s="23">
        <f>MAX(0,AK57-SUMIFS($C$52:$BB$52,$C$25:$BB$25,"&gt;="&amp;AK$25-$F$16+2,$C$25:$BB$25,"&lt;="&amp;AK$25))</f>
        <v/>
      </c>
      <c r="AL60" s="23">
        <f>MAX(0,AL57-SUMIFS($C$52:$BB$52,$C$25:$BB$25,"&gt;="&amp;AL$25-$F$16+2,$C$25:$BB$25,"&lt;="&amp;AL$25))</f>
        <v/>
      </c>
      <c r="AM60" s="23">
        <f>MAX(0,AM57-SUMIFS($C$52:$BB$52,$C$25:$BB$25,"&gt;="&amp;AM$25-$F$16+2,$C$25:$BB$25,"&lt;="&amp;AM$25))</f>
        <v/>
      </c>
      <c r="AN60" s="23">
        <f>MAX(0,AN57-SUMIFS($C$52:$BB$52,$C$25:$BB$25,"&gt;="&amp;AN$25-$F$16+2,$C$25:$BB$25,"&lt;="&amp;AN$25))</f>
        <v/>
      </c>
      <c r="AO60" s="23">
        <f>MAX(0,AO57-SUMIFS($C$52:$BB$52,$C$25:$BB$25,"&gt;="&amp;AO$25-$F$16+2,$C$25:$BB$25,"&lt;="&amp;AO$25))</f>
        <v/>
      </c>
      <c r="AP60" s="23">
        <f>MAX(0,AP57-SUMIFS($C$52:$BB$52,$C$25:$BB$25,"&gt;="&amp;AP$25-$F$16+2,$C$25:$BB$25,"&lt;="&amp;AP$25))</f>
        <v/>
      </c>
      <c r="AQ60" s="23">
        <f>MAX(0,AQ57-SUMIFS($C$52:$BB$52,$C$25:$BB$25,"&gt;="&amp;AQ$25-$F$16+2,$C$25:$BB$25,"&lt;="&amp;AQ$25))</f>
        <v/>
      </c>
      <c r="AR60" s="23">
        <f>MAX(0,AR57-SUMIFS($C$52:$BB$52,$C$25:$BB$25,"&gt;="&amp;AR$25-$F$16+2,$C$25:$BB$25,"&lt;="&amp;AR$25))</f>
        <v/>
      </c>
      <c r="AS60" s="23">
        <f>MAX(0,AS57-SUMIFS($C$52:$BB$52,$C$25:$BB$25,"&gt;="&amp;AS$25-$F$16+2,$C$25:$BB$25,"&lt;="&amp;AS$25))</f>
        <v/>
      </c>
      <c r="AT60" s="23">
        <f>MAX(0,AT57-SUMIFS($C$52:$BB$52,$C$25:$BB$25,"&gt;="&amp;AT$25-$F$16+2,$C$25:$BB$25,"&lt;="&amp;AT$25))</f>
        <v/>
      </c>
      <c r="AU60" s="23">
        <f>MAX(0,AU57-SUMIFS($C$52:$BB$52,$C$25:$BB$25,"&gt;="&amp;AU$25-$F$16+2,$C$25:$BB$25,"&lt;="&amp;AU$25))</f>
        <v/>
      </c>
      <c r="AV60" s="23">
        <f>MAX(0,AV57-SUMIFS($C$52:$BB$52,$C$25:$BB$25,"&gt;="&amp;AV$25-$F$16+2,$C$25:$BB$25,"&lt;="&amp;AV$25))</f>
        <v/>
      </c>
      <c r="AW60" s="23">
        <f>MAX(0,AW57-SUMIFS($C$52:$BB$52,$C$25:$BB$25,"&gt;="&amp;AW$25-$F$16+2,$C$25:$BB$25,"&lt;="&amp;AW$25))</f>
        <v/>
      </c>
      <c r="AX60" s="23">
        <f>MAX(0,AX57-SUMIFS($C$52:$BB$52,$C$25:$BB$25,"&gt;="&amp;AX$25-$F$16+2,$C$25:$BB$25,"&lt;="&amp;AX$25))</f>
        <v/>
      </c>
      <c r="AY60" s="23">
        <f>MAX(0,AY57-SUMIFS($C$52:$BB$52,$C$25:$BB$25,"&gt;="&amp;AY$25-$F$16+2,$C$25:$BB$25,"&lt;="&amp;AY$25))</f>
        <v/>
      </c>
      <c r="AZ60" s="23">
        <f>MAX(0,AZ57-SUMIFS($C$52:$BB$52,$C$25:$BB$25,"&gt;="&amp;AZ$25-$F$16+2,$C$25:$BB$25,"&lt;="&amp;AZ$25))</f>
        <v/>
      </c>
      <c r="BA60" s="23">
        <f>MAX(0,BA57-SUMIFS($C$52:$BB$52,$C$25:$BB$25,"&gt;="&amp;BA$25-$F$16+2,$C$25:$BB$25,"&lt;="&amp;BA$25))</f>
        <v/>
      </c>
      <c r="BB60" s="23">
        <f>MAX(0,BB57-SUMIFS($C$52:$BB$52,$C$25:$BB$25,"&gt;="&amp;BB$25-$F$16+2,$C$25:$BB$25,"&lt;="&amp;BB$25))</f>
        <v/>
      </c>
    </row>
    <row r="61">
      <c r="A61" s="4" t="inlineStr">
        <is>
          <t xml:space="preserve">   stock older than its shelf life — a WARNING here, a hard constraint in the app</t>
        </is>
      </c>
    </row>
    <row r="63">
      <c r="A63" s="2" t="inlineStr">
        <is>
          <t>GARLIC  —  ambient store</t>
        </is>
      </c>
      <c r="B63" s="26" t="inlineStr"/>
    </row>
    <row r="64">
      <c r="A64" s="21" t="inlineStr">
        <is>
          <t>Harvested this week</t>
        </is>
      </c>
      <c r="B64" s="4" t="inlineStr">
        <is>
          <t>lb</t>
        </is>
      </c>
      <c r="C64" s="23">
        <f>C36</f>
        <v/>
      </c>
      <c r="D64" s="23">
        <f>D36</f>
        <v/>
      </c>
      <c r="E64" s="23">
        <f>E36</f>
        <v/>
      </c>
      <c r="F64" s="23">
        <f>F36</f>
        <v/>
      </c>
      <c r="G64" s="23">
        <f>G36</f>
        <v/>
      </c>
      <c r="H64" s="23">
        <f>H36</f>
        <v/>
      </c>
      <c r="I64" s="23">
        <f>I36</f>
        <v/>
      </c>
      <c r="J64" s="23">
        <f>J36</f>
        <v/>
      </c>
      <c r="K64" s="23">
        <f>K36</f>
        <v/>
      </c>
      <c r="L64" s="23">
        <f>L36</f>
        <v/>
      </c>
      <c r="M64" s="23">
        <f>M36</f>
        <v/>
      </c>
      <c r="N64" s="23">
        <f>N36</f>
        <v/>
      </c>
      <c r="O64" s="23">
        <f>O36</f>
        <v/>
      </c>
      <c r="P64" s="23">
        <f>P36</f>
        <v/>
      </c>
      <c r="Q64" s="23">
        <f>Q36</f>
        <v/>
      </c>
      <c r="R64" s="23">
        <f>R36</f>
        <v/>
      </c>
      <c r="S64" s="23">
        <f>S36</f>
        <v/>
      </c>
      <c r="T64" s="23">
        <f>T36</f>
        <v/>
      </c>
      <c r="U64" s="23">
        <f>U36</f>
        <v/>
      </c>
      <c r="V64" s="23">
        <f>V36</f>
        <v/>
      </c>
      <c r="W64" s="23">
        <f>W36</f>
        <v/>
      </c>
      <c r="X64" s="23">
        <f>X36</f>
        <v/>
      </c>
      <c r="Y64" s="23">
        <f>Y36</f>
        <v/>
      </c>
      <c r="Z64" s="23">
        <f>Z36</f>
        <v/>
      </c>
      <c r="AA64" s="23">
        <f>AA36</f>
        <v/>
      </c>
      <c r="AB64" s="23">
        <f>AB36</f>
        <v/>
      </c>
      <c r="AC64" s="23">
        <f>AC36</f>
        <v/>
      </c>
      <c r="AD64" s="23">
        <f>AD36</f>
        <v/>
      </c>
      <c r="AE64" s="23">
        <f>AE36</f>
        <v/>
      </c>
      <c r="AF64" s="23">
        <f>AF36</f>
        <v/>
      </c>
      <c r="AG64" s="23">
        <f>AG36</f>
        <v/>
      </c>
      <c r="AH64" s="23">
        <f>AH36</f>
        <v/>
      </c>
      <c r="AI64" s="23">
        <f>AI36</f>
        <v/>
      </c>
      <c r="AJ64" s="23">
        <f>AJ36</f>
        <v/>
      </c>
      <c r="AK64" s="23">
        <f>AK36</f>
        <v/>
      </c>
      <c r="AL64" s="23">
        <f>AL36</f>
        <v/>
      </c>
      <c r="AM64" s="23">
        <f>AM36</f>
        <v/>
      </c>
      <c r="AN64" s="23">
        <f>AN36</f>
        <v/>
      </c>
      <c r="AO64" s="23">
        <f>AO36</f>
        <v/>
      </c>
      <c r="AP64" s="23">
        <f>AP36</f>
        <v/>
      </c>
      <c r="AQ64" s="23">
        <f>AQ36</f>
        <v/>
      </c>
      <c r="AR64" s="23">
        <f>AR36</f>
        <v/>
      </c>
      <c r="AS64" s="23">
        <f>AS36</f>
        <v/>
      </c>
      <c r="AT64" s="23">
        <f>AT36</f>
        <v/>
      </c>
      <c r="AU64" s="23">
        <f>AU36</f>
        <v/>
      </c>
      <c r="AV64" s="23">
        <f>AV36</f>
        <v/>
      </c>
      <c r="AW64" s="23">
        <f>AW36</f>
        <v/>
      </c>
      <c r="AX64" s="23">
        <f>AX36</f>
        <v/>
      </c>
      <c r="AY64" s="23">
        <f>AY36</f>
        <v/>
      </c>
      <c r="AZ64" s="23">
        <f>AZ36</f>
        <v/>
      </c>
      <c r="BA64" s="23">
        <f>BA36</f>
        <v/>
      </c>
      <c r="BB64" s="23">
        <f>BB36</f>
        <v/>
      </c>
    </row>
    <row r="65">
      <c r="A65" s="21" t="inlineStr">
        <is>
          <t>Stock carried in</t>
        </is>
      </c>
      <c r="B65" s="4" t="inlineStr">
        <is>
          <t>lb</t>
        </is>
      </c>
      <c r="C65" s="23" t="n">
        <v>0</v>
      </c>
      <c r="D65" s="23">
        <f>C69</f>
        <v/>
      </c>
      <c r="E65" s="23">
        <f>D69</f>
        <v/>
      </c>
      <c r="F65" s="23">
        <f>E69</f>
        <v/>
      </c>
      <c r="G65" s="23">
        <f>F69</f>
        <v/>
      </c>
      <c r="H65" s="23">
        <f>G69</f>
        <v/>
      </c>
      <c r="I65" s="23">
        <f>H69</f>
        <v/>
      </c>
      <c r="J65" s="23">
        <f>I69</f>
        <v/>
      </c>
      <c r="K65" s="23">
        <f>J69</f>
        <v/>
      </c>
      <c r="L65" s="23">
        <f>K69</f>
        <v/>
      </c>
      <c r="M65" s="23">
        <f>L69</f>
        <v/>
      </c>
      <c r="N65" s="23">
        <f>M69</f>
        <v/>
      </c>
      <c r="O65" s="23">
        <f>N69</f>
        <v/>
      </c>
      <c r="P65" s="23">
        <f>O69</f>
        <v/>
      </c>
      <c r="Q65" s="23">
        <f>P69</f>
        <v/>
      </c>
      <c r="R65" s="23">
        <f>Q69</f>
        <v/>
      </c>
      <c r="S65" s="23">
        <f>R69</f>
        <v/>
      </c>
      <c r="T65" s="23">
        <f>S69</f>
        <v/>
      </c>
      <c r="U65" s="23">
        <f>T69</f>
        <v/>
      </c>
      <c r="V65" s="23">
        <f>U69</f>
        <v/>
      </c>
      <c r="W65" s="23">
        <f>V69</f>
        <v/>
      </c>
      <c r="X65" s="23">
        <f>W69</f>
        <v/>
      </c>
      <c r="Y65" s="23">
        <f>X69</f>
        <v/>
      </c>
      <c r="Z65" s="23">
        <f>Y69</f>
        <v/>
      </c>
      <c r="AA65" s="23">
        <f>Z69</f>
        <v/>
      </c>
      <c r="AB65" s="23">
        <f>AA69</f>
        <v/>
      </c>
      <c r="AC65" s="23">
        <f>AB69</f>
        <v/>
      </c>
      <c r="AD65" s="23">
        <f>AC69</f>
        <v/>
      </c>
      <c r="AE65" s="23">
        <f>AD69</f>
        <v/>
      </c>
      <c r="AF65" s="23">
        <f>AE69</f>
        <v/>
      </c>
      <c r="AG65" s="23">
        <f>AF69</f>
        <v/>
      </c>
      <c r="AH65" s="23">
        <f>AG69</f>
        <v/>
      </c>
      <c r="AI65" s="23">
        <f>AH69</f>
        <v/>
      </c>
      <c r="AJ65" s="23">
        <f>AI69</f>
        <v/>
      </c>
      <c r="AK65" s="23">
        <f>AJ69</f>
        <v/>
      </c>
      <c r="AL65" s="23">
        <f>AK69</f>
        <v/>
      </c>
      <c r="AM65" s="23">
        <f>AL69</f>
        <v/>
      </c>
      <c r="AN65" s="23">
        <f>AM69</f>
        <v/>
      </c>
      <c r="AO65" s="23">
        <f>AN69</f>
        <v/>
      </c>
      <c r="AP65" s="23">
        <f>AO69</f>
        <v/>
      </c>
      <c r="AQ65" s="23">
        <f>AP69</f>
        <v/>
      </c>
      <c r="AR65" s="23">
        <f>AQ69</f>
        <v/>
      </c>
      <c r="AS65" s="23">
        <f>AR69</f>
        <v/>
      </c>
      <c r="AT65" s="23">
        <f>AS69</f>
        <v/>
      </c>
      <c r="AU65" s="23">
        <f>AT69</f>
        <v/>
      </c>
      <c r="AV65" s="23">
        <f>AU69</f>
        <v/>
      </c>
      <c r="AW65" s="23">
        <f>AV69</f>
        <v/>
      </c>
      <c r="AX65" s="23">
        <f>AW69</f>
        <v/>
      </c>
      <c r="AY65" s="23">
        <f>AX69</f>
        <v/>
      </c>
      <c r="AZ65" s="23">
        <f>AY69</f>
        <v/>
      </c>
      <c r="BA65" s="23">
        <f>AZ69</f>
        <v/>
      </c>
      <c r="BB65" s="23">
        <f>BA69</f>
        <v/>
      </c>
    </row>
    <row r="66">
      <c r="A66" s="21" t="inlineStr">
        <is>
          <t xml:space="preserve">   lost to shrink</t>
        </is>
      </c>
      <c r="B66" s="4" t="inlineStr">
        <is>
          <t>lb</t>
        </is>
      </c>
      <c r="C66" s="23">
        <f>C65*$G$17</f>
        <v/>
      </c>
      <c r="D66" s="23">
        <f>D65*$G$17</f>
        <v/>
      </c>
      <c r="E66" s="23">
        <f>E65*$G$17</f>
        <v/>
      </c>
      <c r="F66" s="23">
        <f>F65*$G$17</f>
        <v/>
      </c>
      <c r="G66" s="23">
        <f>G65*$G$17</f>
        <v/>
      </c>
      <c r="H66" s="23">
        <f>H65*$G$17</f>
        <v/>
      </c>
      <c r="I66" s="23">
        <f>I65*$G$17</f>
        <v/>
      </c>
      <c r="J66" s="23">
        <f>J65*$G$17</f>
        <v/>
      </c>
      <c r="K66" s="23">
        <f>K65*$G$17</f>
        <v/>
      </c>
      <c r="L66" s="23">
        <f>L65*$G$17</f>
        <v/>
      </c>
      <c r="M66" s="23">
        <f>M65*$G$17</f>
        <v/>
      </c>
      <c r="N66" s="23">
        <f>N65*$G$17</f>
        <v/>
      </c>
      <c r="O66" s="23">
        <f>O65*$G$17</f>
        <v/>
      </c>
      <c r="P66" s="23">
        <f>P65*$G$17</f>
        <v/>
      </c>
      <c r="Q66" s="23">
        <f>Q65*$G$17</f>
        <v/>
      </c>
      <c r="R66" s="23">
        <f>R65*$G$17</f>
        <v/>
      </c>
      <c r="S66" s="23">
        <f>S65*$G$17</f>
        <v/>
      </c>
      <c r="T66" s="23">
        <f>T65*$G$17</f>
        <v/>
      </c>
      <c r="U66" s="23">
        <f>U65*$G$17</f>
        <v/>
      </c>
      <c r="V66" s="23">
        <f>V65*$G$17</f>
        <v/>
      </c>
      <c r="W66" s="23">
        <f>W65*$G$17</f>
        <v/>
      </c>
      <c r="X66" s="23">
        <f>X65*$G$17</f>
        <v/>
      </c>
      <c r="Y66" s="23">
        <f>Y65*$G$17</f>
        <v/>
      </c>
      <c r="Z66" s="23">
        <f>Z65*$G$17</f>
        <v/>
      </c>
      <c r="AA66" s="23">
        <f>AA65*$G$17</f>
        <v/>
      </c>
      <c r="AB66" s="23">
        <f>AB65*$G$17</f>
        <v/>
      </c>
      <c r="AC66" s="23">
        <f>AC65*$G$17</f>
        <v/>
      </c>
      <c r="AD66" s="23">
        <f>AD65*$G$17</f>
        <v/>
      </c>
      <c r="AE66" s="23">
        <f>AE65*$G$17</f>
        <v/>
      </c>
      <c r="AF66" s="23">
        <f>AF65*$G$17</f>
        <v/>
      </c>
      <c r="AG66" s="23">
        <f>AG65*$G$17</f>
        <v/>
      </c>
      <c r="AH66" s="23">
        <f>AH65*$G$17</f>
        <v/>
      </c>
      <c r="AI66" s="23">
        <f>AI65*$G$17</f>
        <v/>
      </c>
      <c r="AJ66" s="23">
        <f>AJ65*$G$17</f>
        <v/>
      </c>
      <c r="AK66" s="23">
        <f>AK65*$G$17</f>
        <v/>
      </c>
      <c r="AL66" s="23">
        <f>AL65*$G$17</f>
        <v/>
      </c>
      <c r="AM66" s="23">
        <f>AM65*$G$17</f>
        <v/>
      </c>
      <c r="AN66" s="23">
        <f>AN65*$G$17</f>
        <v/>
      </c>
      <c r="AO66" s="23">
        <f>AO65*$G$17</f>
        <v/>
      </c>
      <c r="AP66" s="23">
        <f>AP65*$G$17</f>
        <v/>
      </c>
      <c r="AQ66" s="23">
        <f>AQ65*$G$17</f>
        <v/>
      </c>
      <c r="AR66" s="23">
        <f>AR65*$G$17</f>
        <v/>
      </c>
      <c r="AS66" s="23">
        <f>AS65*$G$17</f>
        <v/>
      </c>
      <c r="AT66" s="23">
        <f>AT65*$G$17</f>
        <v/>
      </c>
      <c r="AU66" s="23">
        <f>AU65*$G$17</f>
        <v/>
      </c>
      <c r="AV66" s="23">
        <f>AV65*$G$17</f>
        <v/>
      </c>
      <c r="AW66" s="23">
        <f>AW65*$G$17</f>
        <v/>
      </c>
      <c r="AX66" s="23">
        <f>AX65*$G$17</f>
        <v/>
      </c>
      <c r="AY66" s="23">
        <f>AY65*$G$17</f>
        <v/>
      </c>
      <c r="AZ66" s="23">
        <f>AZ65*$G$17</f>
        <v/>
      </c>
      <c r="BA66" s="23">
        <f>BA65*$G$17</f>
        <v/>
      </c>
      <c r="BB66" s="23">
        <f>BB65*$G$17</f>
        <v/>
      </c>
    </row>
    <row r="67">
      <c r="A67" s="21" t="inlineStr">
        <is>
          <t>Available to sell</t>
        </is>
      </c>
      <c r="B67" s="4" t="inlineStr">
        <is>
          <t>lb</t>
        </is>
      </c>
      <c r="C67" s="23">
        <f>C65-C66+C64</f>
        <v/>
      </c>
      <c r="D67" s="23">
        <f>D65-D66+D64</f>
        <v/>
      </c>
      <c r="E67" s="23">
        <f>E65-E66+E64</f>
        <v/>
      </c>
      <c r="F67" s="23">
        <f>F65-F66+F64</f>
        <v/>
      </c>
      <c r="G67" s="23">
        <f>G65-G66+G64</f>
        <v/>
      </c>
      <c r="H67" s="23">
        <f>H65-H66+H64</f>
        <v/>
      </c>
      <c r="I67" s="23">
        <f>I65-I66+I64</f>
        <v/>
      </c>
      <c r="J67" s="23">
        <f>J65-J66+J64</f>
        <v/>
      </c>
      <c r="K67" s="23">
        <f>K65-K66+K64</f>
        <v/>
      </c>
      <c r="L67" s="23">
        <f>L65-L66+L64</f>
        <v/>
      </c>
      <c r="M67" s="23">
        <f>M65-M66+M64</f>
        <v/>
      </c>
      <c r="N67" s="23">
        <f>N65-N66+N64</f>
        <v/>
      </c>
      <c r="O67" s="23">
        <f>O65-O66+O64</f>
        <v/>
      </c>
      <c r="P67" s="23">
        <f>P65-P66+P64</f>
        <v/>
      </c>
      <c r="Q67" s="23">
        <f>Q65-Q66+Q64</f>
        <v/>
      </c>
      <c r="R67" s="23">
        <f>R65-R66+R64</f>
        <v/>
      </c>
      <c r="S67" s="23">
        <f>S65-S66+S64</f>
        <v/>
      </c>
      <c r="T67" s="23">
        <f>T65-T66+T64</f>
        <v/>
      </c>
      <c r="U67" s="23">
        <f>U65-U66+U64</f>
        <v/>
      </c>
      <c r="V67" s="23">
        <f>V65-V66+V64</f>
        <v/>
      </c>
      <c r="W67" s="23">
        <f>W65-W66+W64</f>
        <v/>
      </c>
      <c r="X67" s="23">
        <f>X65-X66+X64</f>
        <v/>
      </c>
      <c r="Y67" s="23">
        <f>Y65-Y66+Y64</f>
        <v/>
      </c>
      <c r="Z67" s="23">
        <f>Z65-Z66+Z64</f>
        <v/>
      </c>
      <c r="AA67" s="23">
        <f>AA65-AA66+AA64</f>
        <v/>
      </c>
      <c r="AB67" s="23">
        <f>AB65-AB66+AB64</f>
        <v/>
      </c>
      <c r="AC67" s="23">
        <f>AC65-AC66+AC64</f>
        <v/>
      </c>
      <c r="AD67" s="23">
        <f>AD65-AD66+AD64</f>
        <v/>
      </c>
      <c r="AE67" s="23">
        <f>AE65-AE66+AE64</f>
        <v/>
      </c>
      <c r="AF67" s="23">
        <f>AF65-AF66+AF64</f>
        <v/>
      </c>
      <c r="AG67" s="23">
        <f>AG65-AG66+AG64</f>
        <v/>
      </c>
      <c r="AH67" s="23">
        <f>AH65-AH66+AH64</f>
        <v/>
      </c>
      <c r="AI67" s="23">
        <f>AI65-AI66+AI64</f>
        <v/>
      </c>
      <c r="AJ67" s="23">
        <f>AJ65-AJ66+AJ64</f>
        <v/>
      </c>
      <c r="AK67" s="23">
        <f>AK65-AK66+AK64</f>
        <v/>
      </c>
      <c r="AL67" s="23">
        <f>AL65-AL66+AL64</f>
        <v/>
      </c>
      <c r="AM67" s="23">
        <f>AM65-AM66+AM64</f>
        <v/>
      </c>
      <c r="AN67" s="23">
        <f>AN65-AN66+AN64</f>
        <v/>
      </c>
      <c r="AO67" s="23">
        <f>AO65-AO66+AO64</f>
        <v/>
      </c>
      <c r="AP67" s="23">
        <f>AP65-AP66+AP64</f>
        <v/>
      </c>
      <c r="AQ67" s="23">
        <f>AQ65-AQ66+AQ64</f>
        <v/>
      </c>
      <c r="AR67" s="23">
        <f>AR65-AR66+AR64</f>
        <v/>
      </c>
      <c r="AS67" s="23">
        <f>AS65-AS66+AS64</f>
        <v/>
      </c>
      <c r="AT67" s="23">
        <f>AT65-AT66+AT64</f>
        <v/>
      </c>
      <c r="AU67" s="23">
        <f>AU65-AU66+AU64</f>
        <v/>
      </c>
      <c r="AV67" s="23">
        <f>AV65-AV66+AV64</f>
        <v/>
      </c>
      <c r="AW67" s="23">
        <f>AW65-AW66+AW64</f>
        <v/>
      </c>
      <c r="AX67" s="23">
        <f>AX65-AX66+AX64</f>
        <v/>
      </c>
      <c r="AY67" s="23">
        <f>AY65-AY66+AY64</f>
        <v/>
      </c>
      <c r="AZ67" s="23">
        <f>AZ65-AZ66+AZ64</f>
        <v/>
      </c>
      <c r="BA67" s="23">
        <f>BA65-BA66+BA64</f>
        <v/>
      </c>
      <c r="BB67" s="23">
        <f>BB65-BB66+BB64</f>
        <v/>
      </c>
    </row>
    <row r="68">
      <c r="A68" s="21" t="inlineStr">
        <is>
          <t>Sold</t>
        </is>
      </c>
      <c r="B68" s="4" t="inlineStr">
        <is>
          <t>lb</t>
        </is>
      </c>
      <c r="C68" s="23">
        <f>MIN(C67,$H$17)</f>
        <v/>
      </c>
      <c r="D68" s="23">
        <f>MIN(D67,$H$17)</f>
        <v/>
      </c>
      <c r="E68" s="23">
        <f>MIN(E67,$H$17)</f>
        <v/>
      </c>
      <c r="F68" s="23">
        <f>MIN(F67,$H$17)</f>
        <v/>
      </c>
      <c r="G68" s="23">
        <f>MIN(G67,$H$17)</f>
        <v/>
      </c>
      <c r="H68" s="23">
        <f>MIN(H67,$H$17)</f>
        <v/>
      </c>
      <c r="I68" s="23">
        <f>MIN(I67,$H$17)</f>
        <v/>
      </c>
      <c r="J68" s="23">
        <f>MIN(J67,$H$17)</f>
        <v/>
      </c>
      <c r="K68" s="23">
        <f>MIN(K67,$H$17)</f>
        <v/>
      </c>
      <c r="L68" s="23">
        <f>MIN(L67,$H$17)</f>
        <v/>
      </c>
      <c r="M68" s="23">
        <f>MIN(M67,$H$17)</f>
        <v/>
      </c>
      <c r="N68" s="23">
        <f>MIN(N67,$H$17)</f>
        <v/>
      </c>
      <c r="O68" s="23">
        <f>MIN(O67,$H$17)</f>
        <v/>
      </c>
      <c r="P68" s="23">
        <f>MIN(P67,$H$17)</f>
        <v/>
      </c>
      <c r="Q68" s="23">
        <f>MIN(Q67,$H$17)</f>
        <v/>
      </c>
      <c r="R68" s="23">
        <f>MIN(R67,$H$17)</f>
        <v/>
      </c>
      <c r="S68" s="23">
        <f>MIN(S67,$H$17)</f>
        <v/>
      </c>
      <c r="T68" s="23">
        <f>MIN(T67,$H$17)</f>
        <v/>
      </c>
      <c r="U68" s="23">
        <f>MIN(U67,$H$17)</f>
        <v/>
      </c>
      <c r="V68" s="23">
        <f>MIN(V67,$H$17)</f>
        <v/>
      </c>
      <c r="W68" s="23">
        <f>MIN(W67,$H$17)</f>
        <v/>
      </c>
      <c r="X68" s="23">
        <f>MIN(X67,$H$17)</f>
        <v/>
      </c>
      <c r="Y68" s="23">
        <f>MIN(Y67,$H$17)</f>
        <v/>
      </c>
      <c r="Z68" s="23">
        <f>MIN(Z67,$H$17)</f>
        <v/>
      </c>
      <c r="AA68" s="23">
        <f>MIN(AA67,$H$17)</f>
        <v/>
      </c>
      <c r="AB68" s="23">
        <f>MIN(AB67,$H$17)</f>
        <v/>
      </c>
      <c r="AC68" s="23">
        <f>MIN(AC67,$H$17)</f>
        <v/>
      </c>
      <c r="AD68" s="23">
        <f>MIN(AD67,$H$17)</f>
        <v/>
      </c>
      <c r="AE68" s="23">
        <f>MIN(AE67,$H$17)</f>
        <v/>
      </c>
      <c r="AF68" s="23">
        <f>MIN(AF67,$H$17)</f>
        <v/>
      </c>
      <c r="AG68" s="23">
        <f>MIN(AG67,$H$17)</f>
        <v/>
      </c>
      <c r="AH68" s="23">
        <f>MIN(AH67,$H$17)</f>
        <v/>
      </c>
      <c r="AI68" s="23">
        <f>MIN(AI67,$H$17)</f>
        <v/>
      </c>
      <c r="AJ68" s="23">
        <f>MIN(AJ67,$H$17)</f>
        <v/>
      </c>
      <c r="AK68" s="23">
        <f>MIN(AK67,$H$17)</f>
        <v/>
      </c>
      <c r="AL68" s="23">
        <f>MIN(AL67,$H$17)</f>
        <v/>
      </c>
      <c r="AM68" s="23">
        <f>MIN(AM67,$H$17)</f>
        <v/>
      </c>
      <c r="AN68" s="23">
        <f>MIN(AN67,$H$17)</f>
        <v/>
      </c>
      <c r="AO68" s="23">
        <f>MIN(AO67,$H$17)</f>
        <v/>
      </c>
      <c r="AP68" s="23">
        <f>MIN(AP67,$H$17)</f>
        <v/>
      </c>
      <c r="AQ68" s="23">
        <f>MIN(AQ67,$H$17)</f>
        <v/>
      </c>
      <c r="AR68" s="23">
        <f>MIN(AR67,$H$17)</f>
        <v/>
      </c>
      <c r="AS68" s="23">
        <f>MIN(AS67,$H$17)</f>
        <v/>
      </c>
      <c r="AT68" s="23">
        <f>MIN(AT67,$H$17)</f>
        <v/>
      </c>
      <c r="AU68" s="23">
        <f>MIN(AU67,$H$17)</f>
        <v/>
      </c>
      <c r="AV68" s="23">
        <f>MIN(AV67,$H$17)</f>
        <v/>
      </c>
      <c r="AW68" s="23">
        <f>MIN(AW67,$H$17)</f>
        <v/>
      </c>
      <c r="AX68" s="23">
        <f>MIN(AX67,$H$17)</f>
        <v/>
      </c>
      <c r="AY68" s="23">
        <f>MIN(AY67,$H$17)</f>
        <v/>
      </c>
      <c r="AZ68" s="23">
        <f>MIN(AZ67,$H$17)</f>
        <v/>
      </c>
      <c r="BA68" s="23">
        <f>MIN(BA67,$H$17)</f>
        <v/>
      </c>
      <c r="BB68" s="23">
        <f>MIN(BB67,$H$17)</f>
        <v/>
      </c>
    </row>
    <row r="69">
      <c r="A69" s="3" t="inlineStr">
        <is>
          <t>Stock carried out</t>
        </is>
      </c>
      <c r="B69" s="4" t="inlineStr">
        <is>
          <t>lb</t>
        </is>
      </c>
      <c r="C69" s="23">
        <f>C67-C68</f>
        <v/>
      </c>
      <c r="D69" s="23">
        <f>D67-D68</f>
        <v/>
      </c>
      <c r="E69" s="23">
        <f>E67-E68</f>
        <v/>
      </c>
      <c r="F69" s="23">
        <f>F67-F68</f>
        <v/>
      </c>
      <c r="G69" s="23">
        <f>G67-G68</f>
        <v/>
      </c>
      <c r="H69" s="23">
        <f>H67-H68</f>
        <v/>
      </c>
      <c r="I69" s="23">
        <f>I67-I68</f>
        <v/>
      </c>
      <c r="J69" s="23">
        <f>J67-J68</f>
        <v/>
      </c>
      <c r="K69" s="23">
        <f>K67-K68</f>
        <v/>
      </c>
      <c r="L69" s="23">
        <f>L67-L68</f>
        <v/>
      </c>
      <c r="M69" s="23">
        <f>M67-M68</f>
        <v/>
      </c>
      <c r="N69" s="23">
        <f>N67-N68</f>
        <v/>
      </c>
      <c r="O69" s="23">
        <f>O67-O68</f>
        <v/>
      </c>
      <c r="P69" s="23">
        <f>P67-P68</f>
        <v/>
      </c>
      <c r="Q69" s="23">
        <f>Q67-Q68</f>
        <v/>
      </c>
      <c r="R69" s="23">
        <f>R67-R68</f>
        <v/>
      </c>
      <c r="S69" s="23">
        <f>S67-S68</f>
        <v/>
      </c>
      <c r="T69" s="23">
        <f>T67-T68</f>
        <v/>
      </c>
      <c r="U69" s="23">
        <f>U67-U68</f>
        <v/>
      </c>
      <c r="V69" s="23">
        <f>V67-V68</f>
        <v/>
      </c>
      <c r="W69" s="23">
        <f>W67-W68</f>
        <v/>
      </c>
      <c r="X69" s="23">
        <f>X67-X68</f>
        <v/>
      </c>
      <c r="Y69" s="23">
        <f>Y67-Y68</f>
        <v/>
      </c>
      <c r="Z69" s="23">
        <f>Z67-Z68</f>
        <v/>
      </c>
      <c r="AA69" s="23">
        <f>AA67-AA68</f>
        <v/>
      </c>
      <c r="AB69" s="23">
        <f>AB67-AB68</f>
        <v/>
      </c>
      <c r="AC69" s="23">
        <f>AC67-AC68</f>
        <v/>
      </c>
      <c r="AD69" s="23">
        <f>AD67-AD68</f>
        <v/>
      </c>
      <c r="AE69" s="23">
        <f>AE67-AE68</f>
        <v/>
      </c>
      <c r="AF69" s="23">
        <f>AF67-AF68</f>
        <v/>
      </c>
      <c r="AG69" s="23">
        <f>AG67-AG68</f>
        <v/>
      </c>
      <c r="AH69" s="23">
        <f>AH67-AH68</f>
        <v/>
      </c>
      <c r="AI69" s="23">
        <f>AI67-AI68</f>
        <v/>
      </c>
      <c r="AJ69" s="23">
        <f>AJ67-AJ68</f>
        <v/>
      </c>
      <c r="AK69" s="23">
        <f>AK67-AK68</f>
        <v/>
      </c>
      <c r="AL69" s="23">
        <f>AL67-AL68</f>
        <v/>
      </c>
      <c r="AM69" s="23">
        <f>AM67-AM68</f>
        <v/>
      </c>
      <c r="AN69" s="23">
        <f>AN67-AN68</f>
        <v/>
      </c>
      <c r="AO69" s="23">
        <f>AO67-AO68</f>
        <v/>
      </c>
      <c r="AP69" s="23">
        <f>AP67-AP68</f>
        <v/>
      </c>
      <c r="AQ69" s="23">
        <f>AQ67-AQ68</f>
        <v/>
      </c>
      <c r="AR69" s="23">
        <f>AR67-AR68</f>
        <v/>
      </c>
      <c r="AS69" s="23">
        <f>AS67-AS68</f>
        <v/>
      </c>
      <c r="AT69" s="23">
        <f>AT67-AT68</f>
        <v/>
      </c>
      <c r="AU69" s="23">
        <f>AU67-AU68</f>
        <v/>
      </c>
      <c r="AV69" s="23">
        <f>AV67-AV68</f>
        <v/>
      </c>
      <c r="AW69" s="23">
        <f>AW67-AW68</f>
        <v/>
      </c>
      <c r="AX69" s="23">
        <f>AX67-AX68</f>
        <v/>
      </c>
      <c r="AY69" s="23">
        <f>AY67-AY68</f>
        <v/>
      </c>
      <c r="AZ69" s="23">
        <f>AZ67-AZ68</f>
        <v/>
      </c>
      <c r="BA69" s="23">
        <f>BA67-BA68</f>
        <v/>
      </c>
      <c r="BB69" s="23">
        <f>BB67-BB68</f>
        <v/>
      </c>
    </row>
    <row r="70">
      <c r="A70" s="3" t="inlineStr">
        <is>
          <t>ROOM OCCUPANCY</t>
        </is>
      </c>
      <c r="B70" s="4" t="inlineStr">
        <is>
          <t>m3</t>
        </is>
      </c>
      <c r="C70" s="27">
        <f>(C65+C64)*$D$17</f>
        <v/>
      </c>
      <c r="D70" s="27">
        <f>(D65+D64)*$D$17</f>
        <v/>
      </c>
      <c r="E70" s="27">
        <f>(E65+E64)*$D$17</f>
        <v/>
      </c>
      <c r="F70" s="27">
        <f>(F65+F64)*$D$17</f>
        <v/>
      </c>
      <c r="G70" s="27">
        <f>(G65+G64)*$D$17</f>
        <v/>
      </c>
      <c r="H70" s="27">
        <f>(H65+H64)*$D$17</f>
        <v/>
      </c>
      <c r="I70" s="27">
        <f>(I65+I64)*$D$17</f>
        <v/>
      </c>
      <c r="J70" s="27">
        <f>(J65+J64)*$D$17</f>
        <v/>
      </c>
      <c r="K70" s="27">
        <f>(K65+K64)*$D$17</f>
        <v/>
      </c>
      <c r="L70" s="27">
        <f>(L65+L64)*$D$17</f>
        <v/>
      </c>
      <c r="M70" s="27">
        <f>(M65+M64)*$D$17</f>
        <v/>
      </c>
      <c r="N70" s="27">
        <f>(N65+N64)*$D$17</f>
        <v/>
      </c>
      <c r="O70" s="27">
        <f>(O65+O64)*$D$17</f>
        <v/>
      </c>
      <c r="P70" s="27">
        <f>(P65+P64)*$D$17</f>
        <v/>
      </c>
      <c r="Q70" s="27">
        <f>(Q65+Q64)*$D$17</f>
        <v/>
      </c>
      <c r="R70" s="27">
        <f>(R65+R64)*$D$17</f>
        <v/>
      </c>
      <c r="S70" s="27">
        <f>(S65+S64)*$D$17</f>
        <v/>
      </c>
      <c r="T70" s="27">
        <f>(T65+T64)*$D$17</f>
        <v/>
      </c>
      <c r="U70" s="27">
        <f>(U65+U64)*$D$17</f>
        <v/>
      </c>
      <c r="V70" s="27">
        <f>(V65+V64)*$D$17</f>
        <v/>
      </c>
      <c r="W70" s="27">
        <f>(W65+W64)*$D$17</f>
        <v/>
      </c>
      <c r="X70" s="27">
        <f>(X65+X64)*$D$17</f>
        <v/>
      </c>
      <c r="Y70" s="27">
        <f>(Y65+Y64)*$D$17</f>
        <v/>
      </c>
      <c r="Z70" s="27">
        <f>(Z65+Z64)*$D$17</f>
        <v/>
      </c>
      <c r="AA70" s="27">
        <f>(AA65+AA64)*$D$17</f>
        <v/>
      </c>
      <c r="AB70" s="27">
        <f>(AB65+AB64)*$D$17</f>
        <v/>
      </c>
      <c r="AC70" s="27">
        <f>(AC65+AC64)*$D$17</f>
        <v/>
      </c>
      <c r="AD70" s="27">
        <f>(AD65+AD64)*$D$17</f>
        <v/>
      </c>
      <c r="AE70" s="27">
        <f>(AE65+AE64)*$D$17</f>
        <v/>
      </c>
      <c r="AF70" s="27">
        <f>(AF65+AF64)*$D$17</f>
        <v/>
      </c>
      <c r="AG70" s="27">
        <f>(AG65+AG64)*$D$17</f>
        <v/>
      </c>
      <c r="AH70" s="27">
        <f>(AH65+AH64)*$D$17</f>
        <v/>
      </c>
      <c r="AI70" s="27">
        <f>(AI65+AI64)*$D$17</f>
        <v/>
      </c>
      <c r="AJ70" s="27">
        <f>(AJ65+AJ64)*$D$17</f>
        <v/>
      </c>
      <c r="AK70" s="27">
        <f>(AK65+AK64)*$D$17</f>
        <v/>
      </c>
      <c r="AL70" s="27">
        <f>(AL65+AL64)*$D$17</f>
        <v/>
      </c>
      <c r="AM70" s="27">
        <f>(AM65+AM64)*$D$17</f>
        <v/>
      </c>
      <c r="AN70" s="27">
        <f>(AN65+AN64)*$D$17</f>
        <v/>
      </c>
      <c r="AO70" s="27">
        <f>(AO65+AO64)*$D$17</f>
        <v/>
      </c>
      <c r="AP70" s="27">
        <f>(AP65+AP64)*$D$17</f>
        <v/>
      </c>
      <c r="AQ70" s="27">
        <f>(AQ65+AQ64)*$D$17</f>
        <v/>
      </c>
      <c r="AR70" s="27">
        <f>(AR65+AR64)*$D$17</f>
        <v/>
      </c>
      <c r="AS70" s="27">
        <f>(AS65+AS64)*$D$17</f>
        <v/>
      </c>
      <c r="AT70" s="27">
        <f>(AT65+AT64)*$D$17</f>
        <v/>
      </c>
      <c r="AU70" s="27">
        <f>(AU65+AU64)*$D$17</f>
        <v/>
      </c>
      <c r="AV70" s="27">
        <f>(AV65+AV64)*$D$17</f>
        <v/>
      </c>
      <c r="AW70" s="27">
        <f>(AW65+AW64)*$D$17</f>
        <v/>
      </c>
      <c r="AX70" s="27">
        <f>(AX65+AX64)*$D$17</f>
        <v/>
      </c>
      <c r="AY70" s="27">
        <f>(AY65+AY64)*$D$17</f>
        <v/>
      </c>
      <c r="AZ70" s="27">
        <f>(AZ65+AZ64)*$D$17</f>
        <v/>
      </c>
      <c r="BA70" s="27">
        <f>(BA65+BA64)*$D$17</f>
        <v/>
      </c>
      <c r="BB70" s="27">
        <f>(BB65+BB64)*$D$17</f>
        <v/>
      </c>
    </row>
    <row r="71">
      <c r="A71" s="4" t="inlineStr">
        <is>
          <t xml:space="preserve">   = carried in + ALL of this week's harvest, before any of it ships</t>
        </is>
      </c>
    </row>
    <row r="72">
      <c r="A72" s="21" t="inlineStr">
        <is>
          <t>Over shelf life?</t>
        </is>
      </c>
      <c r="B72" s="4" t="inlineStr">
        <is>
          <t>lb</t>
        </is>
      </c>
      <c r="C72" s="23">
        <f>MAX(0,C69-SUMIFS($C$64:$BB$64,$C$25:$BB$25,"&gt;="&amp;C$25-$F$17+2,$C$25:$BB$25,"&lt;="&amp;C$25))</f>
        <v/>
      </c>
      <c r="D72" s="23">
        <f>MAX(0,D69-SUMIFS($C$64:$BB$64,$C$25:$BB$25,"&gt;="&amp;D$25-$F$17+2,$C$25:$BB$25,"&lt;="&amp;D$25))</f>
        <v/>
      </c>
      <c r="E72" s="23">
        <f>MAX(0,E69-SUMIFS($C$64:$BB$64,$C$25:$BB$25,"&gt;="&amp;E$25-$F$17+2,$C$25:$BB$25,"&lt;="&amp;E$25))</f>
        <v/>
      </c>
      <c r="F72" s="23">
        <f>MAX(0,F69-SUMIFS($C$64:$BB$64,$C$25:$BB$25,"&gt;="&amp;F$25-$F$17+2,$C$25:$BB$25,"&lt;="&amp;F$25))</f>
        <v/>
      </c>
      <c r="G72" s="23">
        <f>MAX(0,G69-SUMIFS($C$64:$BB$64,$C$25:$BB$25,"&gt;="&amp;G$25-$F$17+2,$C$25:$BB$25,"&lt;="&amp;G$25))</f>
        <v/>
      </c>
      <c r="H72" s="23">
        <f>MAX(0,H69-SUMIFS($C$64:$BB$64,$C$25:$BB$25,"&gt;="&amp;H$25-$F$17+2,$C$25:$BB$25,"&lt;="&amp;H$25))</f>
        <v/>
      </c>
      <c r="I72" s="23">
        <f>MAX(0,I69-SUMIFS($C$64:$BB$64,$C$25:$BB$25,"&gt;="&amp;I$25-$F$17+2,$C$25:$BB$25,"&lt;="&amp;I$25))</f>
        <v/>
      </c>
      <c r="J72" s="23">
        <f>MAX(0,J69-SUMIFS($C$64:$BB$64,$C$25:$BB$25,"&gt;="&amp;J$25-$F$17+2,$C$25:$BB$25,"&lt;="&amp;J$25))</f>
        <v/>
      </c>
      <c r="K72" s="23">
        <f>MAX(0,K69-SUMIFS($C$64:$BB$64,$C$25:$BB$25,"&gt;="&amp;K$25-$F$17+2,$C$25:$BB$25,"&lt;="&amp;K$25))</f>
        <v/>
      </c>
      <c r="L72" s="23">
        <f>MAX(0,L69-SUMIFS($C$64:$BB$64,$C$25:$BB$25,"&gt;="&amp;L$25-$F$17+2,$C$25:$BB$25,"&lt;="&amp;L$25))</f>
        <v/>
      </c>
      <c r="M72" s="23">
        <f>MAX(0,M69-SUMIFS($C$64:$BB$64,$C$25:$BB$25,"&gt;="&amp;M$25-$F$17+2,$C$25:$BB$25,"&lt;="&amp;M$25))</f>
        <v/>
      </c>
      <c r="N72" s="23">
        <f>MAX(0,N69-SUMIFS($C$64:$BB$64,$C$25:$BB$25,"&gt;="&amp;N$25-$F$17+2,$C$25:$BB$25,"&lt;="&amp;N$25))</f>
        <v/>
      </c>
      <c r="O72" s="23">
        <f>MAX(0,O69-SUMIFS($C$64:$BB$64,$C$25:$BB$25,"&gt;="&amp;O$25-$F$17+2,$C$25:$BB$25,"&lt;="&amp;O$25))</f>
        <v/>
      </c>
      <c r="P72" s="23">
        <f>MAX(0,P69-SUMIFS($C$64:$BB$64,$C$25:$BB$25,"&gt;="&amp;P$25-$F$17+2,$C$25:$BB$25,"&lt;="&amp;P$25))</f>
        <v/>
      </c>
      <c r="Q72" s="23">
        <f>MAX(0,Q69-SUMIFS($C$64:$BB$64,$C$25:$BB$25,"&gt;="&amp;Q$25-$F$17+2,$C$25:$BB$25,"&lt;="&amp;Q$25))</f>
        <v/>
      </c>
      <c r="R72" s="23">
        <f>MAX(0,R69-SUMIFS($C$64:$BB$64,$C$25:$BB$25,"&gt;="&amp;R$25-$F$17+2,$C$25:$BB$25,"&lt;="&amp;R$25))</f>
        <v/>
      </c>
      <c r="S72" s="23">
        <f>MAX(0,S69-SUMIFS($C$64:$BB$64,$C$25:$BB$25,"&gt;="&amp;S$25-$F$17+2,$C$25:$BB$25,"&lt;="&amp;S$25))</f>
        <v/>
      </c>
      <c r="T72" s="23">
        <f>MAX(0,T69-SUMIFS($C$64:$BB$64,$C$25:$BB$25,"&gt;="&amp;T$25-$F$17+2,$C$25:$BB$25,"&lt;="&amp;T$25))</f>
        <v/>
      </c>
      <c r="U72" s="23">
        <f>MAX(0,U69-SUMIFS($C$64:$BB$64,$C$25:$BB$25,"&gt;="&amp;U$25-$F$17+2,$C$25:$BB$25,"&lt;="&amp;U$25))</f>
        <v/>
      </c>
      <c r="V72" s="23">
        <f>MAX(0,V69-SUMIFS($C$64:$BB$64,$C$25:$BB$25,"&gt;="&amp;V$25-$F$17+2,$C$25:$BB$25,"&lt;="&amp;V$25))</f>
        <v/>
      </c>
      <c r="W72" s="23">
        <f>MAX(0,W69-SUMIFS($C$64:$BB$64,$C$25:$BB$25,"&gt;="&amp;W$25-$F$17+2,$C$25:$BB$25,"&lt;="&amp;W$25))</f>
        <v/>
      </c>
      <c r="X72" s="23">
        <f>MAX(0,X69-SUMIFS($C$64:$BB$64,$C$25:$BB$25,"&gt;="&amp;X$25-$F$17+2,$C$25:$BB$25,"&lt;="&amp;X$25))</f>
        <v/>
      </c>
      <c r="Y72" s="23">
        <f>MAX(0,Y69-SUMIFS($C$64:$BB$64,$C$25:$BB$25,"&gt;="&amp;Y$25-$F$17+2,$C$25:$BB$25,"&lt;="&amp;Y$25))</f>
        <v/>
      </c>
      <c r="Z72" s="23">
        <f>MAX(0,Z69-SUMIFS($C$64:$BB$64,$C$25:$BB$25,"&gt;="&amp;Z$25-$F$17+2,$C$25:$BB$25,"&lt;="&amp;Z$25))</f>
        <v/>
      </c>
      <c r="AA72" s="23">
        <f>MAX(0,AA69-SUMIFS($C$64:$BB$64,$C$25:$BB$25,"&gt;="&amp;AA$25-$F$17+2,$C$25:$BB$25,"&lt;="&amp;AA$25))</f>
        <v/>
      </c>
      <c r="AB72" s="23">
        <f>MAX(0,AB69-SUMIFS($C$64:$BB$64,$C$25:$BB$25,"&gt;="&amp;AB$25-$F$17+2,$C$25:$BB$25,"&lt;="&amp;AB$25))</f>
        <v/>
      </c>
      <c r="AC72" s="23">
        <f>MAX(0,AC69-SUMIFS($C$64:$BB$64,$C$25:$BB$25,"&gt;="&amp;AC$25-$F$17+2,$C$25:$BB$25,"&lt;="&amp;AC$25))</f>
        <v/>
      </c>
      <c r="AD72" s="23">
        <f>MAX(0,AD69-SUMIFS($C$64:$BB$64,$C$25:$BB$25,"&gt;="&amp;AD$25-$F$17+2,$C$25:$BB$25,"&lt;="&amp;AD$25))</f>
        <v/>
      </c>
      <c r="AE72" s="23">
        <f>MAX(0,AE69-SUMIFS($C$64:$BB$64,$C$25:$BB$25,"&gt;="&amp;AE$25-$F$17+2,$C$25:$BB$25,"&lt;="&amp;AE$25))</f>
        <v/>
      </c>
      <c r="AF72" s="23">
        <f>MAX(0,AF69-SUMIFS($C$64:$BB$64,$C$25:$BB$25,"&gt;="&amp;AF$25-$F$17+2,$C$25:$BB$25,"&lt;="&amp;AF$25))</f>
        <v/>
      </c>
      <c r="AG72" s="23">
        <f>MAX(0,AG69-SUMIFS($C$64:$BB$64,$C$25:$BB$25,"&gt;="&amp;AG$25-$F$17+2,$C$25:$BB$25,"&lt;="&amp;AG$25))</f>
        <v/>
      </c>
      <c r="AH72" s="23">
        <f>MAX(0,AH69-SUMIFS($C$64:$BB$64,$C$25:$BB$25,"&gt;="&amp;AH$25-$F$17+2,$C$25:$BB$25,"&lt;="&amp;AH$25))</f>
        <v/>
      </c>
      <c r="AI72" s="23">
        <f>MAX(0,AI69-SUMIFS($C$64:$BB$64,$C$25:$BB$25,"&gt;="&amp;AI$25-$F$17+2,$C$25:$BB$25,"&lt;="&amp;AI$25))</f>
        <v/>
      </c>
      <c r="AJ72" s="23">
        <f>MAX(0,AJ69-SUMIFS($C$64:$BB$64,$C$25:$BB$25,"&gt;="&amp;AJ$25-$F$17+2,$C$25:$BB$25,"&lt;="&amp;AJ$25))</f>
        <v/>
      </c>
      <c r="AK72" s="23">
        <f>MAX(0,AK69-SUMIFS($C$64:$BB$64,$C$25:$BB$25,"&gt;="&amp;AK$25-$F$17+2,$C$25:$BB$25,"&lt;="&amp;AK$25))</f>
        <v/>
      </c>
      <c r="AL72" s="23">
        <f>MAX(0,AL69-SUMIFS($C$64:$BB$64,$C$25:$BB$25,"&gt;="&amp;AL$25-$F$17+2,$C$25:$BB$25,"&lt;="&amp;AL$25))</f>
        <v/>
      </c>
      <c r="AM72" s="23">
        <f>MAX(0,AM69-SUMIFS($C$64:$BB$64,$C$25:$BB$25,"&gt;="&amp;AM$25-$F$17+2,$C$25:$BB$25,"&lt;="&amp;AM$25))</f>
        <v/>
      </c>
      <c r="AN72" s="23">
        <f>MAX(0,AN69-SUMIFS($C$64:$BB$64,$C$25:$BB$25,"&gt;="&amp;AN$25-$F$17+2,$C$25:$BB$25,"&lt;="&amp;AN$25))</f>
        <v/>
      </c>
      <c r="AO72" s="23">
        <f>MAX(0,AO69-SUMIFS($C$64:$BB$64,$C$25:$BB$25,"&gt;="&amp;AO$25-$F$17+2,$C$25:$BB$25,"&lt;="&amp;AO$25))</f>
        <v/>
      </c>
      <c r="AP72" s="23">
        <f>MAX(0,AP69-SUMIFS($C$64:$BB$64,$C$25:$BB$25,"&gt;="&amp;AP$25-$F$17+2,$C$25:$BB$25,"&lt;="&amp;AP$25))</f>
        <v/>
      </c>
      <c r="AQ72" s="23">
        <f>MAX(0,AQ69-SUMIFS($C$64:$BB$64,$C$25:$BB$25,"&gt;="&amp;AQ$25-$F$17+2,$C$25:$BB$25,"&lt;="&amp;AQ$25))</f>
        <v/>
      </c>
      <c r="AR72" s="23">
        <f>MAX(0,AR69-SUMIFS($C$64:$BB$64,$C$25:$BB$25,"&gt;="&amp;AR$25-$F$17+2,$C$25:$BB$25,"&lt;="&amp;AR$25))</f>
        <v/>
      </c>
      <c r="AS72" s="23">
        <f>MAX(0,AS69-SUMIFS($C$64:$BB$64,$C$25:$BB$25,"&gt;="&amp;AS$25-$F$17+2,$C$25:$BB$25,"&lt;="&amp;AS$25))</f>
        <v/>
      </c>
      <c r="AT72" s="23">
        <f>MAX(0,AT69-SUMIFS($C$64:$BB$64,$C$25:$BB$25,"&gt;="&amp;AT$25-$F$17+2,$C$25:$BB$25,"&lt;="&amp;AT$25))</f>
        <v/>
      </c>
      <c r="AU72" s="23">
        <f>MAX(0,AU69-SUMIFS($C$64:$BB$64,$C$25:$BB$25,"&gt;="&amp;AU$25-$F$17+2,$C$25:$BB$25,"&lt;="&amp;AU$25))</f>
        <v/>
      </c>
      <c r="AV72" s="23">
        <f>MAX(0,AV69-SUMIFS($C$64:$BB$64,$C$25:$BB$25,"&gt;="&amp;AV$25-$F$17+2,$C$25:$BB$25,"&lt;="&amp;AV$25))</f>
        <v/>
      </c>
      <c r="AW72" s="23">
        <f>MAX(0,AW69-SUMIFS($C$64:$BB$64,$C$25:$BB$25,"&gt;="&amp;AW$25-$F$17+2,$C$25:$BB$25,"&lt;="&amp;AW$25))</f>
        <v/>
      </c>
      <c r="AX72" s="23">
        <f>MAX(0,AX69-SUMIFS($C$64:$BB$64,$C$25:$BB$25,"&gt;="&amp;AX$25-$F$17+2,$C$25:$BB$25,"&lt;="&amp;AX$25))</f>
        <v/>
      </c>
      <c r="AY72" s="23">
        <f>MAX(0,AY69-SUMIFS($C$64:$BB$64,$C$25:$BB$25,"&gt;="&amp;AY$25-$F$17+2,$C$25:$BB$25,"&lt;="&amp;AY$25))</f>
        <v/>
      </c>
      <c r="AZ72" s="23">
        <f>MAX(0,AZ69-SUMIFS($C$64:$BB$64,$C$25:$BB$25,"&gt;="&amp;AZ$25-$F$17+2,$C$25:$BB$25,"&lt;="&amp;AZ$25))</f>
        <v/>
      </c>
      <c r="BA72" s="23">
        <f>MAX(0,BA69-SUMIFS($C$64:$BB$64,$C$25:$BB$25,"&gt;="&amp;BA$25-$F$17+2,$C$25:$BB$25,"&lt;="&amp;BA$25))</f>
        <v/>
      </c>
      <c r="BB72" s="23">
        <f>MAX(0,BB69-SUMIFS($C$64:$BB$64,$C$25:$BB$25,"&gt;="&amp;BB$25-$F$17+2,$C$25:$BB$25,"&lt;="&amp;BB$25))</f>
        <v/>
      </c>
    </row>
    <row r="73">
      <c r="A73" s="4" t="inlineStr">
        <is>
          <t xml:space="preserve">   stock older than its shelf life — a WARNING here, a hard constraint in the app</t>
        </is>
      </c>
    </row>
    <row r="75">
      <c r="A75" s="2" t="inlineStr">
        <is>
          <t>5 — THE TWO STORES</t>
        </is>
      </c>
    </row>
    <row r="76">
      <c r="A76" s="28" t="inlineStr">
        <is>
          <t>COLD POOL used</t>
        </is>
      </c>
      <c r="B76" s="4" t="inlineStr">
        <is>
          <t>m3</t>
        </is>
      </c>
      <c r="C76" s="25">
        <f>C46+C58</f>
        <v/>
      </c>
      <c r="D76" s="25">
        <f>D46+D58</f>
        <v/>
      </c>
      <c r="E76" s="25">
        <f>E46+E58</f>
        <v/>
      </c>
      <c r="F76" s="25">
        <f>F46+F58</f>
        <v/>
      </c>
      <c r="G76" s="25">
        <f>G46+G58</f>
        <v/>
      </c>
      <c r="H76" s="25">
        <f>H46+H58</f>
        <v/>
      </c>
      <c r="I76" s="25">
        <f>I46+I58</f>
        <v/>
      </c>
      <c r="J76" s="25">
        <f>J46+J58</f>
        <v/>
      </c>
      <c r="K76" s="25">
        <f>K46+K58</f>
        <v/>
      </c>
      <c r="L76" s="25">
        <f>L46+L58</f>
        <v/>
      </c>
      <c r="M76" s="25">
        <f>M46+M58</f>
        <v/>
      </c>
      <c r="N76" s="25">
        <f>N46+N58</f>
        <v/>
      </c>
      <c r="O76" s="25">
        <f>O46+O58</f>
        <v/>
      </c>
      <c r="P76" s="25">
        <f>P46+P58</f>
        <v/>
      </c>
      <c r="Q76" s="25">
        <f>Q46+Q58</f>
        <v/>
      </c>
      <c r="R76" s="25">
        <f>R46+R58</f>
        <v/>
      </c>
      <c r="S76" s="25">
        <f>S46+S58</f>
        <v/>
      </c>
      <c r="T76" s="25">
        <f>T46+T58</f>
        <v/>
      </c>
      <c r="U76" s="25">
        <f>U46+U58</f>
        <v/>
      </c>
      <c r="V76" s="25">
        <f>V46+V58</f>
        <v/>
      </c>
      <c r="W76" s="25">
        <f>W46+W58</f>
        <v/>
      </c>
      <c r="X76" s="25">
        <f>X46+X58</f>
        <v/>
      </c>
      <c r="Y76" s="25">
        <f>Y46+Y58</f>
        <v/>
      </c>
      <c r="Z76" s="25">
        <f>Z46+Z58</f>
        <v/>
      </c>
      <c r="AA76" s="25">
        <f>AA46+AA58</f>
        <v/>
      </c>
      <c r="AB76" s="25">
        <f>AB46+AB58</f>
        <v/>
      </c>
      <c r="AC76" s="25">
        <f>AC46+AC58</f>
        <v/>
      </c>
      <c r="AD76" s="25">
        <f>AD46+AD58</f>
        <v/>
      </c>
      <c r="AE76" s="25">
        <f>AE46+AE58</f>
        <v/>
      </c>
      <c r="AF76" s="25">
        <f>AF46+AF58</f>
        <v/>
      </c>
      <c r="AG76" s="25">
        <f>AG46+AG58</f>
        <v/>
      </c>
      <c r="AH76" s="25">
        <f>AH46+AH58</f>
        <v/>
      </c>
      <c r="AI76" s="25">
        <f>AI46+AI58</f>
        <v/>
      </c>
      <c r="AJ76" s="25">
        <f>AJ46+AJ58</f>
        <v/>
      </c>
      <c r="AK76" s="25">
        <f>AK46+AK58</f>
        <v/>
      </c>
      <c r="AL76" s="25">
        <f>AL46+AL58</f>
        <v/>
      </c>
      <c r="AM76" s="25">
        <f>AM46+AM58</f>
        <v/>
      </c>
      <c r="AN76" s="25">
        <f>AN46+AN58</f>
        <v/>
      </c>
      <c r="AO76" s="25">
        <f>AO46+AO58</f>
        <v/>
      </c>
      <c r="AP76" s="25">
        <f>AP46+AP58</f>
        <v/>
      </c>
      <c r="AQ76" s="25">
        <f>AQ46+AQ58</f>
        <v/>
      </c>
      <c r="AR76" s="25">
        <f>AR46+AR58</f>
        <v/>
      </c>
      <c r="AS76" s="25">
        <f>AS46+AS58</f>
        <v/>
      </c>
      <c r="AT76" s="25">
        <f>AT46+AT58</f>
        <v/>
      </c>
      <c r="AU76" s="25">
        <f>AU46+AU58</f>
        <v/>
      </c>
      <c r="AV76" s="25">
        <f>AV46+AV58</f>
        <v/>
      </c>
      <c r="AW76" s="25">
        <f>AW46+AW58</f>
        <v/>
      </c>
      <c r="AX76" s="25">
        <f>AX46+AX58</f>
        <v/>
      </c>
      <c r="AY76" s="25">
        <f>AY46+AY58</f>
        <v/>
      </c>
      <c r="AZ76" s="25">
        <f>AZ46+AZ58</f>
        <v/>
      </c>
      <c r="BA76" s="25">
        <f>BA46+BA58</f>
        <v/>
      </c>
      <c r="BB76" s="25">
        <f>BB46+BB58</f>
        <v/>
      </c>
    </row>
    <row r="77">
      <c r="A77" s="3" t="inlineStr">
        <is>
          <t>COLD POOL headroom</t>
        </is>
      </c>
      <c r="B77" s="4" t="inlineStr">
        <is>
          <t>m3</t>
        </is>
      </c>
      <c r="C77" s="29">
        <f>$B$21-C76</f>
        <v/>
      </c>
      <c r="D77" s="29">
        <f>$B$21-D76</f>
        <v/>
      </c>
      <c r="E77" s="29">
        <f>$B$21-E76</f>
        <v/>
      </c>
      <c r="F77" s="29">
        <f>$B$21-F76</f>
        <v/>
      </c>
      <c r="G77" s="29">
        <f>$B$21-G76</f>
        <v/>
      </c>
      <c r="H77" s="29">
        <f>$B$21-H76</f>
        <v/>
      </c>
      <c r="I77" s="29">
        <f>$B$21-I76</f>
        <v/>
      </c>
      <c r="J77" s="29">
        <f>$B$21-J76</f>
        <v/>
      </c>
      <c r="K77" s="29">
        <f>$B$21-K76</f>
        <v/>
      </c>
      <c r="L77" s="29">
        <f>$B$21-L76</f>
        <v/>
      </c>
      <c r="M77" s="29">
        <f>$B$21-M76</f>
        <v/>
      </c>
      <c r="N77" s="29">
        <f>$B$21-N76</f>
        <v/>
      </c>
      <c r="O77" s="29">
        <f>$B$21-O76</f>
        <v/>
      </c>
      <c r="P77" s="29">
        <f>$B$21-P76</f>
        <v/>
      </c>
      <c r="Q77" s="29">
        <f>$B$21-Q76</f>
        <v/>
      </c>
      <c r="R77" s="29">
        <f>$B$21-R76</f>
        <v/>
      </c>
      <c r="S77" s="29">
        <f>$B$21-S76</f>
        <v/>
      </c>
      <c r="T77" s="29">
        <f>$B$21-T76</f>
        <v/>
      </c>
      <c r="U77" s="29">
        <f>$B$21-U76</f>
        <v/>
      </c>
      <c r="V77" s="29">
        <f>$B$21-V76</f>
        <v/>
      </c>
      <c r="W77" s="29">
        <f>$B$21-W76</f>
        <v/>
      </c>
      <c r="X77" s="29">
        <f>$B$21-X76</f>
        <v/>
      </c>
      <c r="Y77" s="29">
        <f>$B$21-Y76</f>
        <v/>
      </c>
      <c r="Z77" s="29">
        <f>$B$21-Z76</f>
        <v/>
      </c>
      <c r="AA77" s="29">
        <f>$B$21-AA76</f>
        <v/>
      </c>
      <c r="AB77" s="29">
        <f>$B$21-AB76</f>
        <v/>
      </c>
      <c r="AC77" s="29">
        <f>$B$21-AC76</f>
        <v/>
      </c>
      <c r="AD77" s="29">
        <f>$B$21-AD76</f>
        <v/>
      </c>
      <c r="AE77" s="29">
        <f>$B$21-AE76</f>
        <v/>
      </c>
      <c r="AF77" s="29">
        <f>$B$21-AF76</f>
        <v/>
      </c>
      <c r="AG77" s="29">
        <f>$B$21-AG76</f>
        <v/>
      </c>
      <c r="AH77" s="29">
        <f>$B$21-AH76</f>
        <v/>
      </c>
      <c r="AI77" s="29">
        <f>$B$21-AI76</f>
        <v/>
      </c>
      <c r="AJ77" s="29">
        <f>$B$21-AJ76</f>
        <v/>
      </c>
      <c r="AK77" s="29">
        <f>$B$21-AK76</f>
        <v/>
      </c>
      <c r="AL77" s="29">
        <f>$B$21-AL76</f>
        <v/>
      </c>
      <c r="AM77" s="29">
        <f>$B$21-AM76</f>
        <v/>
      </c>
      <c r="AN77" s="29">
        <f>$B$21-AN76</f>
        <v/>
      </c>
      <c r="AO77" s="29">
        <f>$B$21-AO76</f>
        <v/>
      </c>
      <c r="AP77" s="29">
        <f>$B$21-AP76</f>
        <v/>
      </c>
      <c r="AQ77" s="29">
        <f>$B$21-AQ76</f>
        <v/>
      </c>
      <c r="AR77" s="29">
        <f>$B$21-AR76</f>
        <v/>
      </c>
      <c r="AS77" s="29">
        <f>$B$21-AS76</f>
        <v/>
      </c>
      <c r="AT77" s="29">
        <f>$B$21-AT76</f>
        <v/>
      </c>
      <c r="AU77" s="29">
        <f>$B$21-AU76</f>
        <v/>
      </c>
      <c r="AV77" s="29">
        <f>$B$21-AV76</f>
        <v/>
      </c>
      <c r="AW77" s="29">
        <f>$B$21-AW76</f>
        <v/>
      </c>
      <c r="AX77" s="29">
        <f>$B$21-AX76</f>
        <v/>
      </c>
      <c r="AY77" s="29">
        <f>$B$21-AY76</f>
        <v/>
      </c>
      <c r="AZ77" s="29">
        <f>$B$21-AZ76</f>
        <v/>
      </c>
      <c r="BA77" s="29">
        <f>$B$21-BA76</f>
        <v/>
      </c>
      <c r="BB77" s="29">
        <f>$B$21-BB76</f>
        <v/>
      </c>
    </row>
    <row r="78">
      <c r="A78" s="4" t="inlineStr">
        <is>
          <t xml:space="preserve">   Cold store holds Spinach, Kale. NEGATIVE = overflowed = the app calls this infeasible.</t>
        </is>
      </c>
    </row>
    <row r="80">
      <c r="A80" s="30" t="inlineStr">
        <is>
          <t>AMBIENT POOL used</t>
        </is>
      </c>
      <c r="B80" s="4" t="inlineStr">
        <is>
          <t>m3</t>
        </is>
      </c>
      <c r="C80" s="27">
        <f>C70</f>
        <v/>
      </c>
      <c r="D80" s="27">
        <f>D70</f>
        <v/>
      </c>
      <c r="E80" s="27">
        <f>E70</f>
        <v/>
      </c>
      <c r="F80" s="27">
        <f>F70</f>
        <v/>
      </c>
      <c r="G80" s="27">
        <f>G70</f>
        <v/>
      </c>
      <c r="H80" s="27">
        <f>H70</f>
        <v/>
      </c>
      <c r="I80" s="27">
        <f>I70</f>
        <v/>
      </c>
      <c r="J80" s="27">
        <f>J70</f>
        <v/>
      </c>
      <c r="K80" s="27">
        <f>K70</f>
        <v/>
      </c>
      <c r="L80" s="27">
        <f>L70</f>
        <v/>
      </c>
      <c r="M80" s="27">
        <f>M70</f>
        <v/>
      </c>
      <c r="N80" s="27">
        <f>N70</f>
        <v/>
      </c>
      <c r="O80" s="27">
        <f>O70</f>
        <v/>
      </c>
      <c r="P80" s="27">
        <f>P70</f>
        <v/>
      </c>
      <c r="Q80" s="27">
        <f>Q70</f>
        <v/>
      </c>
      <c r="R80" s="27">
        <f>R70</f>
        <v/>
      </c>
      <c r="S80" s="27">
        <f>S70</f>
        <v/>
      </c>
      <c r="T80" s="27">
        <f>T70</f>
        <v/>
      </c>
      <c r="U80" s="27">
        <f>U70</f>
        <v/>
      </c>
      <c r="V80" s="27">
        <f>V70</f>
        <v/>
      </c>
      <c r="W80" s="27">
        <f>W70</f>
        <v/>
      </c>
      <c r="X80" s="27">
        <f>X70</f>
        <v/>
      </c>
      <c r="Y80" s="27">
        <f>Y70</f>
        <v/>
      </c>
      <c r="Z80" s="27">
        <f>Z70</f>
        <v/>
      </c>
      <c r="AA80" s="27">
        <f>AA70</f>
        <v/>
      </c>
      <c r="AB80" s="27">
        <f>AB70</f>
        <v/>
      </c>
      <c r="AC80" s="27">
        <f>AC70</f>
        <v/>
      </c>
      <c r="AD80" s="27">
        <f>AD70</f>
        <v/>
      </c>
      <c r="AE80" s="27">
        <f>AE70</f>
        <v/>
      </c>
      <c r="AF80" s="27">
        <f>AF70</f>
        <v/>
      </c>
      <c r="AG80" s="27">
        <f>AG70</f>
        <v/>
      </c>
      <c r="AH80" s="27">
        <f>AH70</f>
        <v/>
      </c>
      <c r="AI80" s="27">
        <f>AI70</f>
        <v/>
      </c>
      <c r="AJ80" s="27">
        <f>AJ70</f>
        <v/>
      </c>
      <c r="AK80" s="27">
        <f>AK70</f>
        <v/>
      </c>
      <c r="AL80" s="27">
        <f>AL70</f>
        <v/>
      </c>
      <c r="AM80" s="27">
        <f>AM70</f>
        <v/>
      </c>
      <c r="AN80" s="27">
        <f>AN70</f>
        <v/>
      </c>
      <c r="AO80" s="27">
        <f>AO70</f>
        <v/>
      </c>
      <c r="AP80" s="27">
        <f>AP70</f>
        <v/>
      </c>
      <c r="AQ80" s="27">
        <f>AQ70</f>
        <v/>
      </c>
      <c r="AR80" s="27">
        <f>AR70</f>
        <v/>
      </c>
      <c r="AS80" s="27">
        <f>AS70</f>
        <v/>
      </c>
      <c r="AT80" s="27">
        <f>AT70</f>
        <v/>
      </c>
      <c r="AU80" s="27">
        <f>AU70</f>
        <v/>
      </c>
      <c r="AV80" s="27">
        <f>AV70</f>
        <v/>
      </c>
      <c r="AW80" s="27">
        <f>AW70</f>
        <v/>
      </c>
      <c r="AX80" s="27">
        <f>AX70</f>
        <v/>
      </c>
      <c r="AY80" s="27">
        <f>AY70</f>
        <v/>
      </c>
      <c r="AZ80" s="27">
        <f>AZ70</f>
        <v/>
      </c>
      <c r="BA80" s="27">
        <f>BA70</f>
        <v/>
      </c>
      <c r="BB80" s="27">
        <f>BB70</f>
        <v/>
      </c>
    </row>
    <row r="81">
      <c r="A81" s="3" t="inlineStr">
        <is>
          <t>AMBIENT POOL headroom</t>
        </is>
      </c>
      <c r="B81" s="4" t="inlineStr">
        <is>
          <t>m3</t>
        </is>
      </c>
      <c r="C81" s="29">
        <f>$B$22-C80</f>
        <v/>
      </c>
      <c r="D81" s="29">
        <f>$B$22-D80</f>
        <v/>
      </c>
      <c r="E81" s="29">
        <f>$B$22-E80</f>
        <v/>
      </c>
      <c r="F81" s="29">
        <f>$B$22-F80</f>
        <v/>
      </c>
      <c r="G81" s="29">
        <f>$B$22-G80</f>
        <v/>
      </c>
      <c r="H81" s="29">
        <f>$B$22-H80</f>
        <v/>
      </c>
      <c r="I81" s="29">
        <f>$B$22-I80</f>
        <v/>
      </c>
      <c r="J81" s="29">
        <f>$B$22-J80</f>
        <v/>
      </c>
      <c r="K81" s="29">
        <f>$B$22-K80</f>
        <v/>
      </c>
      <c r="L81" s="29">
        <f>$B$22-L80</f>
        <v/>
      </c>
      <c r="M81" s="29">
        <f>$B$22-M80</f>
        <v/>
      </c>
      <c r="N81" s="29">
        <f>$B$22-N80</f>
        <v/>
      </c>
      <c r="O81" s="29">
        <f>$B$22-O80</f>
        <v/>
      </c>
      <c r="P81" s="29">
        <f>$B$22-P80</f>
        <v/>
      </c>
      <c r="Q81" s="29">
        <f>$B$22-Q80</f>
        <v/>
      </c>
      <c r="R81" s="29">
        <f>$B$22-R80</f>
        <v/>
      </c>
      <c r="S81" s="29">
        <f>$B$22-S80</f>
        <v/>
      </c>
      <c r="T81" s="29">
        <f>$B$22-T80</f>
        <v/>
      </c>
      <c r="U81" s="29">
        <f>$B$22-U80</f>
        <v/>
      </c>
      <c r="V81" s="29">
        <f>$B$22-V80</f>
        <v/>
      </c>
      <c r="W81" s="29">
        <f>$B$22-W80</f>
        <v/>
      </c>
      <c r="X81" s="29">
        <f>$B$22-X80</f>
        <v/>
      </c>
      <c r="Y81" s="29">
        <f>$B$22-Y80</f>
        <v/>
      </c>
      <c r="Z81" s="29">
        <f>$B$22-Z80</f>
        <v/>
      </c>
      <c r="AA81" s="29">
        <f>$B$22-AA80</f>
        <v/>
      </c>
      <c r="AB81" s="29">
        <f>$B$22-AB80</f>
        <v/>
      </c>
      <c r="AC81" s="29">
        <f>$B$22-AC80</f>
        <v/>
      </c>
      <c r="AD81" s="29">
        <f>$B$22-AD80</f>
        <v/>
      </c>
      <c r="AE81" s="29">
        <f>$B$22-AE80</f>
        <v/>
      </c>
      <c r="AF81" s="29">
        <f>$B$22-AF80</f>
        <v/>
      </c>
      <c r="AG81" s="29">
        <f>$B$22-AG80</f>
        <v/>
      </c>
      <c r="AH81" s="29">
        <f>$B$22-AH80</f>
        <v/>
      </c>
      <c r="AI81" s="29">
        <f>$B$22-AI80</f>
        <v/>
      </c>
      <c r="AJ81" s="29">
        <f>$B$22-AJ80</f>
        <v/>
      </c>
      <c r="AK81" s="29">
        <f>$B$22-AK80</f>
        <v/>
      </c>
      <c r="AL81" s="29">
        <f>$B$22-AL80</f>
        <v/>
      </c>
      <c r="AM81" s="29">
        <f>$B$22-AM80</f>
        <v/>
      </c>
      <c r="AN81" s="29">
        <f>$B$22-AN80</f>
        <v/>
      </c>
      <c r="AO81" s="29">
        <f>$B$22-AO80</f>
        <v/>
      </c>
      <c r="AP81" s="29">
        <f>$B$22-AP80</f>
        <v/>
      </c>
      <c r="AQ81" s="29">
        <f>$B$22-AQ80</f>
        <v/>
      </c>
      <c r="AR81" s="29">
        <f>$B$22-AR80</f>
        <v/>
      </c>
      <c r="AS81" s="29">
        <f>$B$22-AS80</f>
        <v/>
      </c>
      <c r="AT81" s="29">
        <f>$B$22-AT80</f>
        <v/>
      </c>
      <c r="AU81" s="29">
        <f>$B$22-AU80</f>
        <v/>
      </c>
      <c r="AV81" s="29">
        <f>$B$22-AV80</f>
        <v/>
      </c>
      <c r="AW81" s="29">
        <f>$B$22-AW80</f>
        <v/>
      </c>
      <c r="AX81" s="29">
        <f>$B$22-AX80</f>
        <v/>
      </c>
      <c r="AY81" s="29">
        <f>$B$22-AY80</f>
        <v/>
      </c>
      <c r="AZ81" s="29">
        <f>$B$22-AZ80</f>
        <v/>
      </c>
      <c r="BA81" s="29">
        <f>$B$22-BA80</f>
        <v/>
      </c>
      <c r="BB81" s="29">
        <f>$B$22-BB80</f>
        <v/>
      </c>
    </row>
    <row r="82">
      <c r="A82" s="4" t="inlineStr">
        <is>
          <t xml:space="preserve">   Ambient store holds Garlic. NEGATIVE = overflowed = the app calls this infeasible.</t>
        </is>
      </c>
    </row>
    <row r="84">
      <c r="A84" s="2" t="inlineStr">
        <is>
          <t>6 — WHAT THIS PLAN DOES</t>
        </is>
      </c>
    </row>
    <row r="85">
      <c r="A85" s="3" t="inlineStr">
        <is>
          <t>Peak COLD store used</t>
        </is>
      </c>
      <c r="B85" s="10">
        <f>MAX(C76:BB76)</f>
        <v/>
      </c>
      <c r="C85" s="4" t="inlineStr">
        <is>
          <t>m3   against a 275 m3 cooler</t>
        </is>
      </c>
    </row>
    <row r="86">
      <c r="A86" s="3" t="inlineStr">
        <is>
          <t>Weeks the cooler overflows</t>
        </is>
      </c>
      <c r="B86" s="31">
        <f>COUNTIF(C77:BB77,"&lt;0")</f>
        <v/>
      </c>
      <c r="C86" s="4" t="inlineStr">
        <is>
          <t>weeks out of 52</t>
        </is>
      </c>
    </row>
    <row r="87">
      <c r="A87" s="3" t="inlineStr">
        <is>
          <t>Peak AMBIENT store used</t>
        </is>
      </c>
      <c r="B87" s="10">
        <f>MAX(C80:BB80)</f>
        <v/>
      </c>
      <c r="C87" s="4" t="inlineStr">
        <is>
          <t>m3   against a 150 m3 barn</t>
        </is>
      </c>
    </row>
    <row r="88">
      <c r="A88" s="3" t="inlineStr">
        <is>
          <t>Weeks the barn overflows</t>
        </is>
      </c>
      <c r="B88" s="31">
        <f>COUNTIF(C81:BB81,"&lt;0")</f>
        <v/>
      </c>
      <c r="C88" s="4" t="inlineStr">
        <is>
          <t>weeks out of 52</t>
        </is>
      </c>
    </row>
    <row r="90">
      <c r="A90" t="inlineStr">
        <is>
          <t>Spinach — harvested</t>
        </is>
      </c>
      <c r="B90" s="23">
        <f>SUM(C40:BB40)</f>
        <v/>
      </c>
      <c r="C90" s="4" t="inlineStr">
        <is>
          <t>lb sellable</t>
        </is>
      </c>
    </row>
    <row r="91">
      <c r="A91" t="inlineStr">
        <is>
          <t>Spinach — sold</t>
        </is>
      </c>
      <c r="B91" s="23">
        <f>SUM(C44:BB44)</f>
        <v/>
      </c>
      <c r="C91" s="4" t="inlineStr">
        <is>
          <t>lb</t>
        </is>
      </c>
    </row>
    <row r="92">
      <c r="A92" t="inlineStr">
        <is>
          <t>Spinach — lost to shrink</t>
        </is>
      </c>
      <c r="B92" s="23">
        <f>SUM(C42:BB42)</f>
        <v/>
      </c>
      <c r="C92" s="4" t="inlineStr">
        <is>
          <t>lb</t>
        </is>
      </c>
    </row>
    <row r="93">
      <c r="A93" t="inlineStr">
        <is>
          <t>Spinach — left at year end</t>
        </is>
      </c>
      <c r="B93" s="23">
        <f>BB45</f>
        <v/>
      </c>
      <c r="C93" s="4" t="inlineStr">
        <is>
          <t>lb  (the app anchors stock at zero on 1 Jan, so this is stranded)</t>
        </is>
      </c>
    </row>
    <row r="94">
      <c r="A94" t="inlineStr">
        <is>
          <t>Spinach — over shelf life at worst</t>
        </is>
      </c>
      <c r="B94" s="23">
        <f>MAX(C48:BB48)</f>
        <v/>
      </c>
      <c r="C94" s="4" t="inlineStr">
        <is>
          <t>lb  (WARNING only in this sheet)</t>
        </is>
      </c>
    </row>
    <row r="96">
      <c r="A96" t="inlineStr">
        <is>
          <t>Kale — harvested</t>
        </is>
      </c>
      <c r="B96" s="23">
        <f>SUM(C52:BB52)</f>
        <v/>
      </c>
      <c r="C96" s="4" t="inlineStr">
        <is>
          <t>lb sellable</t>
        </is>
      </c>
    </row>
    <row r="97">
      <c r="A97" t="inlineStr">
        <is>
          <t>Kale — sold</t>
        </is>
      </c>
      <c r="B97" s="23">
        <f>SUM(C56:BB56)</f>
        <v/>
      </c>
      <c r="C97" s="4" t="inlineStr">
        <is>
          <t>lb</t>
        </is>
      </c>
    </row>
    <row r="98">
      <c r="A98" t="inlineStr">
        <is>
          <t>Kale — lost to shrink</t>
        </is>
      </c>
      <c r="B98" s="23">
        <f>SUM(C54:BB54)</f>
        <v/>
      </c>
      <c r="C98" s="4" t="inlineStr">
        <is>
          <t>lb</t>
        </is>
      </c>
    </row>
    <row r="99">
      <c r="A99" t="inlineStr">
        <is>
          <t>Kale — left at year end</t>
        </is>
      </c>
      <c r="B99" s="23">
        <f>BB57</f>
        <v/>
      </c>
      <c r="C99" s="4" t="inlineStr">
        <is>
          <t>lb  (the app anchors stock at zero on 1 Jan, so this is stranded)</t>
        </is>
      </c>
    </row>
    <row r="100">
      <c r="A100" t="inlineStr">
        <is>
          <t>Kale — over shelf life at worst</t>
        </is>
      </c>
      <c r="B100" s="23">
        <f>MAX(C60:BB60)</f>
        <v/>
      </c>
      <c r="C100" s="4" t="inlineStr">
        <is>
          <t>lb  (WARNING only in this sheet)</t>
        </is>
      </c>
    </row>
    <row r="102">
      <c r="A102" t="inlineStr">
        <is>
          <t>Garlic — harvested</t>
        </is>
      </c>
      <c r="B102" s="23">
        <f>SUM(C64:BB64)</f>
        <v/>
      </c>
      <c r="C102" s="4" t="inlineStr">
        <is>
          <t>lb sellable</t>
        </is>
      </c>
    </row>
    <row r="103">
      <c r="A103" t="inlineStr">
        <is>
          <t>Garlic — sold</t>
        </is>
      </c>
      <c r="B103" s="23">
        <f>SUM(C68:BB68)</f>
        <v/>
      </c>
      <c r="C103" s="4" t="inlineStr">
        <is>
          <t>lb</t>
        </is>
      </c>
    </row>
    <row r="104">
      <c r="A104" t="inlineStr">
        <is>
          <t>Garlic — lost to shrink</t>
        </is>
      </c>
      <c r="B104" s="23">
        <f>SUM(C66:BB66)</f>
        <v/>
      </c>
      <c r="C104" s="4" t="inlineStr">
        <is>
          <t>lb</t>
        </is>
      </c>
    </row>
    <row r="105">
      <c r="A105" t="inlineStr">
        <is>
          <t>Garlic — left at year end</t>
        </is>
      </c>
      <c r="B105" s="23">
        <f>BB69</f>
        <v/>
      </c>
      <c r="C105" s="4" t="inlineStr">
        <is>
          <t>lb  (the app anchors stock at zero on 1 Jan, so this is stranded)</t>
        </is>
      </c>
    </row>
    <row r="106">
      <c r="A106" t="inlineStr">
        <is>
          <t>Garlic — over shelf life at worst</t>
        </is>
      </c>
      <c r="B106" s="23">
        <f>MAX(C72:BB72)</f>
        <v/>
      </c>
      <c r="C106" s="4" t="inlineStr">
        <is>
          <t>lb  (WARNING only in this sheet)</t>
        </is>
      </c>
    </row>
  </sheetData>
  <conditionalFormatting sqref="C77:BB77">
    <cfRule type="cellIs" priority="1" operator="lessThan" dxfId="0">
      <formula>0</formula>
    </cfRule>
  </conditionalFormatting>
  <conditionalFormatting sqref="C76:BB76">
    <cfRule type="cellIs" priority="2" operator="greaterThan" dxfId="0">
      <formula>$B$21</formula>
    </cfRule>
  </conditionalFormatting>
  <conditionalFormatting sqref="C81:BB81">
    <cfRule type="cellIs" priority="3" operator="lessThan" dxfId="0">
      <formula>0</formula>
    </cfRule>
  </conditionalFormatting>
  <conditionalFormatting sqref="C80:BB80">
    <cfRule type="cellIs" priority="4" operator="greaterThan" dxfId="0">
      <formula>$B$22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Crop constants — READ FROM THE APP, not retyped</t>
        </is>
      </c>
    </row>
    <row r="2">
      <c r="A2" s="4" t="inlineStr">
        <is>
          <t>Source: tests/golden/default_farm_payload.json (the payload the browser sends) and farm_v2.utils.calendar.generate_successions (the app's own calendar).</t>
        </is>
      </c>
    </row>
    <row r="3">
      <c r="A3" s="4" t="inlineStr">
        <is>
          <t>Regenerate with:  python3 toy_models/build_toy_v1.py</t>
        </is>
      </c>
    </row>
    <row r="5">
      <c r="A5" s="18" t="inlineStr">
        <is>
          <t>Field</t>
        </is>
      </c>
      <c r="B5" s="18" t="inlineStr">
        <is>
          <t>Spinach</t>
        </is>
      </c>
      <c r="C5" s="18" t="inlineStr">
        <is>
          <t>Kale</t>
        </is>
      </c>
      <c r="D5" s="18" t="inlineStr">
        <is>
          <t>Garlic</t>
        </is>
      </c>
      <c r="E5" s="18" t="inlineStr">
        <is>
          <t>What it means</t>
        </is>
      </c>
    </row>
    <row r="6">
      <c r="A6" s="3" t="inlineStr">
        <is>
          <t>yield_per_acre</t>
        </is>
      </c>
      <c r="B6" t="n">
        <v>5000</v>
      </c>
      <c r="C6" t="n">
        <v>8000</v>
      </c>
      <c r="D6" t="n">
        <v>10000</v>
      </c>
      <c r="E6" s="21" t="inlineStr">
        <is>
          <t>lb of crop per acre, before sell-through</t>
        </is>
      </c>
    </row>
    <row r="7">
      <c r="A7" s="3" t="inlineStr">
        <is>
          <t>crop_size_m3_per_lb</t>
        </is>
      </c>
      <c r="B7" t="n">
        <v>0.002197967741935484</v>
      </c>
      <c r="C7" t="n">
        <v>0.003785388888888889</v>
      </c>
      <c r="D7" t="n">
        <v>0.001195385964912281</v>
      </c>
      <c r="E7" s="21" t="inlineStr">
        <is>
          <t>how much store space one pound takes</t>
        </is>
      </c>
    </row>
    <row r="8">
      <c r="A8" s="3" t="inlineStr">
        <is>
          <t>cold_storage</t>
        </is>
      </c>
      <c r="B8" t="b">
        <v>1</v>
      </c>
      <c r="C8" t="b">
        <v>1</v>
      </c>
      <c r="D8" t="b">
        <v>0</v>
      </c>
      <c r="E8" s="21" t="inlineStr">
        <is>
          <t>TRUE = cooler, FALSE = ambient barn</t>
        </is>
      </c>
    </row>
    <row r="9">
      <c r="A9" s="3" t="inlineStr">
        <is>
          <t>shelf_life_weeks</t>
        </is>
      </c>
      <c r="B9" t="n">
        <v>2</v>
      </c>
      <c r="C9" t="n">
        <v>2</v>
      </c>
      <c r="D9" t="n">
        <v>16</v>
      </c>
      <c r="E9" s="21" t="inlineStr">
        <is>
          <t>weeks it can be SOLD IN, counting its harvest week</t>
        </is>
      </c>
    </row>
    <row r="10">
      <c r="A10" s="3" t="inlineStr">
        <is>
          <t>days_to_maturity</t>
        </is>
      </c>
      <c r="B10" t="n">
        <v>42</v>
      </c>
      <c r="C10" t="n">
        <v>60</v>
      </c>
      <c r="D10" t="n">
        <v>240</v>
      </c>
      <c r="E10" s="21" t="inlineStr">
        <is>
          <t>plant to FIRST harvest (not total field time)</t>
        </is>
      </c>
    </row>
    <row r="11">
      <c r="A11" s="3" t="inlineStr">
        <is>
          <t>planting_weeks</t>
        </is>
      </c>
      <c r="B11" t="n">
        <v>1</v>
      </c>
      <c r="C11" t="n">
        <v>1</v>
      </c>
      <c r="D11" t="n">
        <v>3</v>
      </c>
      <c r="E11" s="21" t="inlineStr">
        <is>
          <t>how long the planting phase lasts</t>
        </is>
      </c>
    </row>
    <row r="12">
      <c r="A12" s="3" t="inlineStr">
        <is>
          <t>harvest_weeks</t>
        </is>
      </c>
      <c r="B12" t="n">
        <v>2</v>
      </c>
      <c r="C12" t="n">
        <v>4</v>
      </c>
      <c r="D12" t="n">
        <v>1</v>
      </c>
      <c r="E12" s="21" t="inlineStr">
        <is>
          <t>how many weeks it is picked over</t>
        </is>
      </c>
    </row>
    <row r="13">
      <c r="A13" s="3" t="inlineStr">
        <is>
          <t>overwinters</t>
        </is>
      </c>
      <c r="B13" t="b">
        <v>0</v>
      </c>
      <c r="C13" t="b">
        <v>0</v>
      </c>
      <c r="D13" t="b">
        <v>1</v>
      </c>
      <c r="E13" s="21" t="inlineStr">
        <is>
          <t>may its cycle run past week 52</t>
        </is>
      </c>
    </row>
    <row r="14">
      <c r="A14" s="3" t="inlineStr">
        <is>
          <t>seasons</t>
        </is>
      </c>
      <c r="B14" t="inlineStr">
        <is>
          <t>02-01-&gt;06-15; 08-01-&gt;11-15</t>
        </is>
      </c>
      <c r="C14" t="inlineStr">
        <is>
          <t>02-01-&gt;06-01; 07-15-&gt;12-01</t>
        </is>
      </c>
      <c r="D14" t="inlineStr">
        <is>
          <t>11-15-&gt;12-01</t>
        </is>
      </c>
      <c r="E14" s="21" t="inlineStr">
        <is>
          <t>the PLANTING window(s) — any start week inside is legal</t>
        </is>
      </c>
    </row>
    <row r="16">
      <c r="A16" s="2" t="inlineStr">
        <is>
          <t>Farm-level</t>
        </is>
      </c>
    </row>
    <row r="17">
      <c r="A17" s="3" t="inlineStr">
        <is>
          <t>total_land</t>
        </is>
      </c>
      <c r="B17" t="n">
        <v>80</v>
      </c>
      <c r="E17" s="21" t="inlineStr">
        <is>
          <t>acres of ground</t>
        </is>
      </c>
    </row>
    <row r="18">
      <c r="A18" s="3" t="inlineStr">
        <is>
          <t>sell_through_fraction</t>
        </is>
      </c>
      <c r="B18" t="n">
        <v>0.85</v>
      </c>
      <c r="E18" s="21" t="inlineStr">
        <is>
          <t>share of harvest that becomes sellable product</t>
        </is>
      </c>
    </row>
    <row r="19">
      <c r="A19" s="3" t="inlineStr">
        <is>
          <t>harvest_storage_cap</t>
        </is>
      </c>
      <c r="B19" t="n">
        <v>275</v>
      </c>
      <c r="E19" s="21" t="inlineStr">
        <is>
          <t>m3 of refrigerated space</t>
        </is>
      </c>
    </row>
    <row r="20">
      <c r="A20" s="3" t="inlineStr">
        <is>
          <t>ambient_storage_cap</t>
        </is>
      </c>
      <c r="B20" t="n">
        <v>150</v>
      </c>
      <c r="E20" s="21" t="inlineStr">
        <is>
          <t>m3 of barn space</t>
        </is>
      </c>
    </row>
    <row r="23">
      <c r="A23" s="2" t="inlineStr">
        <is>
          <t>The 5 plantings on the Model sheet</t>
        </is>
      </c>
    </row>
    <row r="24">
      <c r="A24" s="4" t="inlineStr">
        <is>
          <t>chosen from the 68 the app's generator offers for these three crops</t>
        </is>
      </c>
    </row>
    <row r="25">
      <c r="A25" s="18" t="inlineStr">
        <is>
          <t>Succession</t>
        </is>
      </c>
      <c r="B25" s="18" t="inlineStr">
        <is>
          <t>Crop</t>
        </is>
      </c>
      <c r="C25" s="18" t="inlineStr">
        <is>
          <t>In the ground</t>
        </is>
      </c>
      <c r="D25" s="18" t="inlineStr">
        <is>
          <t>Harvest weeks</t>
        </is>
      </c>
    </row>
    <row r="26">
      <c r="A26" t="inlineStr">
        <is>
          <t>Spinach W10</t>
        </is>
      </c>
      <c r="B26" t="inlineStr">
        <is>
          <t>Spinach</t>
        </is>
      </c>
      <c r="C26" t="inlineStr">
        <is>
          <t>W10 to W17 (8 wk)</t>
        </is>
      </c>
      <c r="D26" t="inlineStr">
        <is>
          <t>W16, W17</t>
        </is>
      </c>
    </row>
    <row r="27">
      <c r="A27" t="inlineStr">
        <is>
          <t>Spinach W34</t>
        </is>
      </c>
      <c r="B27" t="inlineStr">
        <is>
          <t>Spinach</t>
        </is>
      </c>
      <c r="C27" t="inlineStr">
        <is>
          <t>W34 to W41 (8 wk)</t>
        </is>
      </c>
      <c r="D27" t="inlineStr">
        <is>
          <t>W40, W41</t>
        </is>
      </c>
    </row>
    <row r="28">
      <c r="A28" t="inlineStr">
        <is>
          <t>Kale W12</t>
        </is>
      </c>
      <c r="B28" t="inlineStr">
        <is>
          <t>Kale</t>
        </is>
      </c>
      <c r="C28" t="inlineStr">
        <is>
          <t>W12 to W24 (13 wk)</t>
        </is>
      </c>
      <c r="D28" t="inlineStr">
        <is>
          <t>W21, W22, W23, W24</t>
        </is>
      </c>
    </row>
    <row r="29">
      <c r="A29" t="inlineStr">
        <is>
          <t>Kale W32</t>
        </is>
      </c>
      <c r="B29" t="inlineStr">
        <is>
          <t>Kale</t>
        </is>
      </c>
      <c r="C29" t="inlineStr">
        <is>
          <t>W32 to W44 (13 wk)</t>
        </is>
      </c>
      <c r="D29" t="inlineStr">
        <is>
          <t>W41, W42, W43, W44</t>
        </is>
      </c>
    </row>
    <row r="30">
      <c r="A30" t="inlineStr">
        <is>
          <t>Garlic W47</t>
        </is>
      </c>
      <c r="B30" t="inlineStr">
        <is>
          <t>Garlic</t>
        </is>
      </c>
      <c r="C30" t="inlineStr">
        <is>
          <t>W47 to W30 (36 wk)</t>
        </is>
      </c>
      <c r="D30" t="inlineStr">
        <is>
          <t>W30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2026-08-29T07:23:13Z</dcterms:created>
  <dcterms:modified xsi:type="dcterms:W3CDTF">2026-08-29T07:23:13Z</dcterms:modified>
</cp:coreProperties>
</file>