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Model" sheetId="2" state="visible" r:id="rId2"/>
    <sheet name="Crop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00"/>
    <numFmt numFmtId="166" formatCode="0.0%"/>
  </numFmts>
  <fonts count="6">
    <font>
      <name val="Calibri"/>
      <family val="2"/>
      <color theme="1"/>
      <sz val="11"/>
      <scheme val="minor"/>
    </font>
    <font>
      <b val="1"/>
      <sz val="15"/>
    </font>
    <font>
      <i val="1"/>
      <color rgb="00666666"/>
      <sz val="9"/>
    </font>
    <font>
      <b val="1"/>
      <color rgb="001F4E79"/>
      <sz val="12"/>
    </font>
    <font>
      <b val="1"/>
    </font>
    <font>
      <sz val="9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8F0FE"/>
      </patternFill>
    </fill>
    <fill>
      <patternFill patternType="solid">
        <fgColor rgb="00FFF0E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164" fontId="0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4" fontId="4" fillId="0" borderId="0" pivotButton="0" quotePrefix="0" xfId="0"/>
    <xf numFmtId="2" fontId="0" fillId="3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3" borderId="1" pivotButton="0" quotePrefix="0" xfId="0"/>
    <xf numFmtId="166" fontId="0" fillId="3" borderId="1" pivotButton="0" quotePrefix="0" xfId="0"/>
    <xf numFmtId="3" fontId="0" fillId="3" borderId="1" pivotButton="0" quotePrefix="0" xfId="0"/>
    <xf numFmtId="0" fontId="0" fillId="5" borderId="1" pivotButton="0" quotePrefix="0" xfId="0"/>
    <xf numFmtId="0" fontId="4" fillId="2" borderId="0" pivotButton="0" quotePrefix="0" xfId="0"/>
    <xf numFmtId="0" fontId="2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5" fillId="6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4" fillId="0" borderId="0" applyAlignment="1" pivotButton="0" quotePrefix="0" xfId="0">
      <alignment horizontal="center"/>
    </xf>
    <xf numFmtId="0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0" fontId="4" fillId="4" borderId="0" pivotButton="0" quotePrefix="0" xfId="0"/>
    <xf numFmtId="0" fontId="4" fillId="5" borderId="0" pivotButton="0" quotePrefix="0" xfId="0"/>
    <xf numFmtId="1" fontId="4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4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Farm toy model — v1: THE SPINE + STORAGE</t>
        </is>
      </c>
    </row>
    <row r="2">
      <c r="A2" t="inlineStr"/>
    </row>
    <row r="3">
      <c r="A3" s="2" t="inlineStr">
        <is>
          <t>WHAT THIS IS</t>
        </is>
      </c>
    </row>
    <row r="4">
      <c r="A4" t="inlineStr">
        <is>
          <t>A hand-checkable model of the smallest part of the app that you did not build in Excel:</t>
        </is>
      </c>
    </row>
    <row r="5">
      <c r="A5" t="inlineStr">
        <is>
          <t>what you plant becomes what you harvest becomes what you can hold becomes what you sell.</t>
        </is>
      </c>
    </row>
    <row r="6">
      <c r="A6" t="inlineStr">
        <is>
          <t>There is NO solver in this version. You type the acres. Everything else is arithmetic you</t>
        </is>
      </c>
    </row>
    <row r="7">
      <c r="A7" t="inlineStr">
        <is>
          <t>can follow cell by cell.</t>
        </is>
      </c>
    </row>
    <row r="8">
      <c r="A8" t="inlineStr"/>
    </row>
    <row r="9">
      <c r="A9" t="inlineStr">
        <is>
          <t>Three crops, chosen to make one distinction visible: Spinach and Kale are refrigerated</t>
        </is>
      </c>
    </row>
    <row r="10">
      <c r="A10" t="inlineStr">
        <is>
          <t>(the cooler); Garlic is cured and lives in the barn at ambient temperature. They compete</t>
        </is>
      </c>
    </row>
    <row r="11">
      <c r="A11" t="inlineStr">
        <is>
          <t>for two SEPARATE capped spaces, which is why the app has two storage pools.</t>
        </is>
      </c>
    </row>
    <row r="12">
      <c r="A12" t="inlineStr"/>
    </row>
    <row r="13">
      <c r="A13" s="2" t="inlineStr">
        <is>
          <t>HOW TO USE IT</t>
        </is>
      </c>
    </row>
    <row r="14">
      <c r="A14" t="inlineStr">
        <is>
          <t>1. Go to the 'Model' sheet. Every YELLOW cell is an input. Nothing else should be typed in.</t>
        </is>
      </c>
    </row>
    <row r="15">
      <c r="A15" t="inlineStr">
        <is>
          <t>2. Start with the acres in B6:B10. Change one. Watch the whole sheet move.</t>
        </is>
      </c>
    </row>
    <row r="16">
      <c r="A16" t="inlineStr">
        <is>
          <t>3. Watch row 'COLD POOL headroom' and 'AMBIENT POOL headroom'. Red = you have overflowed</t>
        </is>
      </c>
    </row>
    <row r="17">
      <c r="A17" t="inlineStr">
        <is>
          <t xml:space="preserve">   that store in that week. The app would call this plan infeasible.</t>
        </is>
      </c>
    </row>
    <row r="18">
      <c r="A18" t="inlineStr"/>
    </row>
    <row r="19">
      <c r="A19" s="2" t="inlineStr">
        <is>
          <t>THE ONE THING THIS SHEET EXISTS TO SHOW</t>
        </is>
      </c>
    </row>
    <row r="20">
      <c r="A20" t="inlineStr">
        <is>
          <t>Set every crop's 'Sell rate lb/wk' high enough that stock never builds up. Closing inventory</t>
        </is>
      </c>
    </row>
    <row r="21">
      <c r="A21" t="inlineStr">
        <is>
          <t>goes to zero in every week — you are selling everything the week you pick it.</t>
        </is>
      </c>
    </row>
    <row r="22">
      <c r="A22" s="3" t="inlineStr">
        <is>
          <t>Now look at the cold pool. IT IS STILL FULL IN THE HARVEST WEEKS.</t>
        </is>
      </c>
    </row>
    <row r="23">
      <c r="A23" t="inlineStr"/>
    </row>
    <row r="24">
      <c r="A24" t="inlineStr">
        <is>
          <t>That is the whole point of the storage constraint, and it is the thing the app got wrong</t>
        </is>
      </c>
    </row>
    <row r="25">
      <c r="A25" t="inlineStr">
        <is>
          <t>for months. A cooler is sized by what passes THROUGH it, not by what sleeps in it. Field</t>
        </is>
      </c>
    </row>
    <row r="26">
      <c r="A26" t="inlineStr">
        <is>
          <t>heat has to come off spinach within the hour whether it ships Tuesday or Friday. The old</t>
        </is>
      </c>
    </row>
    <row r="27">
      <c r="A27" t="inlineStr">
        <is>
          <t>version measured end-of-week stock, so a farm that sold everything immediately was reported</t>
        </is>
      </c>
    </row>
    <row r="28">
      <c r="A28" t="inlineStr">
        <is>
          <t>as needing NO cooler at all.</t>
        </is>
      </c>
    </row>
    <row r="29">
      <c r="A29" t="inlineStr"/>
    </row>
    <row r="30">
      <c r="A30" t="inlineStr">
        <is>
          <t>The formula that encodes this is on the 'Room occupancy' rows:</t>
        </is>
      </c>
    </row>
    <row r="31">
      <c r="A31" s="3" t="inlineStr">
        <is>
          <t xml:space="preserve">      room this week = (stock you carried in) + (everything you harvest this week)</t>
        </is>
      </c>
    </row>
    <row r="32">
      <c r="A32" t="inlineStr">
        <is>
          <t>...counted BEFORE any of it ships. You size a cooler for the worst Tuesday, not the average.</t>
        </is>
      </c>
    </row>
    <row r="33">
      <c r="A33" t="inlineStr"/>
    </row>
    <row r="34">
      <c r="A34" s="2" t="inlineStr">
        <is>
          <t>WHAT THIS VERSION DOES NOT CARRY</t>
        </is>
      </c>
    </row>
    <row r="35">
      <c r="A35" t="inlineStr">
        <is>
          <t>Stated plainly so you know the edges, and so nothing here is a surprise later:</t>
        </is>
      </c>
    </row>
    <row r="36">
      <c r="A36" t="inlineStr">
        <is>
          <t xml:space="preserve">  - No demand caps. 'Sell rate lb/wk' is a stand-in for the buyer. The real model has</t>
        </is>
      </c>
    </row>
    <row r="37">
      <c r="A37" t="inlineStr">
        <is>
          <t xml:space="preserve">    per-channel weekly AND annual caps, which is layer 2.</t>
        </is>
      </c>
    </row>
    <row r="38">
      <c r="A38" t="inlineStr">
        <is>
          <t xml:space="preserve">  - No prices, costs, revenue or profit. This layer is physical only.</t>
        </is>
      </c>
    </row>
    <row r="39">
      <c r="A39" t="inlineStr">
        <is>
          <t xml:space="preserve">  - No cash, no labour, no water, no crop diversity, no planting/harvest throughput limits.</t>
        </is>
      </c>
    </row>
    <row r="40">
      <c r="A40" t="inlineStr">
        <is>
          <t xml:space="preserve">  - Shelf life is shown as a WARNING, not enforced, and it ignores the decay weighting the</t>
        </is>
      </c>
    </row>
    <row r="41">
      <c r="A41" t="inlineStr">
        <is>
          <t xml:space="preserve">    real constraint applies. See the 'Over shelf life?' rows.</t>
        </is>
      </c>
    </row>
    <row r="42">
      <c r="A42" t="inlineStr">
        <is>
          <t xml:space="preserve">  - The real model DECIDES the acres. Here you type them. That is layer 2 as well.</t>
        </is>
      </c>
    </row>
    <row r="43">
      <c r="A43" t="inlineStr"/>
    </row>
    <row r="44">
      <c r="A44" s="2" t="inlineStr">
        <is>
          <t>WHY 'Sold' USES MIN() - AND WHY THAT IS A FINDING, NOT A SHORTCUT</t>
        </is>
      </c>
    </row>
    <row r="45">
      <c r="A45" t="inlineStr">
        <is>
          <t>The 'Sold' row is MIN(what you have, what you can move). That is fine here because nothing</t>
        </is>
      </c>
    </row>
    <row r="46">
      <c r="A46" t="inlineStr">
        <is>
          <t>is being optimised. But MIN() is NOT LINEAR, so a linear solver cannot use it. This is</t>
        </is>
      </c>
    </row>
    <row r="47">
      <c r="A47" t="inlineStr">
        <is>
          <t>exactly why the real model does not have a 'sold' formula at all: it makes the pounds sold a</t>
        </is>
      </c>
    </row>
    <row r="48">
      <c r="A48" t="inlineStr">
        <is>
          <t>DECISION VARIABLE and bounds it with a constraint instead. When the spreadsheet cannot</t>
        </is>
      </c>
    </row>
    <row r="49">
      <c r="A49" t="inlineStr">
        <is>
          <t>express something, that is usually telling you something true about the solver.</t>
        </is>
      </c>
    </row>
    <row r="50">
      <c r="A50" t="inlineStr"/>
    </row>
    <row r="51">
      <c r="A51" s="2" t="inlineStr">
        <is>
          <t>!! THE SCALE WARNING - READ THIS BEFORE CONCLUDING ANYTHING</t>
        </is>
      </c>
    </row>
    <row r="52">
      <c r="A52" t="inlineStr">
        <is>
          <t>Small models are TIGHT; large ones are LOOSE. This toy has 3 crops and 5 plantings. The</t>
        </is>
      </c>
    </row>
    <row r="53">
      <c r="A53" t="inlineStr">
        <is>
          <t>real farm has 7 crops and 220 acre-plantings. Which constraints BIND, and which crops are</t>
        </is>
      </c>
    </row>
    <row r="54">
      <c r="A54" t="inlineStr">
        <is>
          <t>worth planting, change with scale, and this sheet will get that wrong.</t>
        </is>
      </c>
    </row>
    <row r="55">
      <c r="A55" t="inlineStr"/>
    </row>
    <row r="56">
      <c r="A56" t="inlineStr">
        <is>
          <t>So: this toy teaches MECHANISM - how storage works, what it measures, what it takes away.</t>
        </is>
      </c>
    </row>
    <row r="57">
      <c r="A57" t="inlineStr">
        <is>
          <t>It does NOT tell you which constraint is actually binding on your farm. The app already</t>
        </is>
      </c>
    </row>
    <row r="58">
      <c r="A58" t="inlineStr">
        <is>
          <t>answers that (capacity_series returns used-vs-cap per week for every pool). Any conclusion</t>
        </is>
      </c>
    </row>
    <row r="59">
      <c r="A59" t="inlineStr">
        <is>
          <t>drawn here gets re-measured against the real farm before it becomes a plan item.</t>
        </is>
      </c>
    </row>
    <row r="60">
      <c r="A60" t="inlineStr"/>
    </row>
    <row r="61">
      <c r="A61" s="2" t="inlineStr">
        <is>
          <t>HOW THE SHEET IS LAID OUT</t>
        </is>
      </c>
    </row>
    <row r="62">
      <c r="A62" t="inlineStr">
        <is>
          <t>Sections 1-3 are inputs. Section 4 is the year, week 1 to 52 running left to right.</t>
        </is>
      </c>
    </row>
    <row r="63">
      <c r="A63" t="inlineStr">
        <is>
          <t>Only columns A and B are frozen, so scrolling up and down is free. Every band repeats its own</t>
        </is>
      </c>
    </row>
    <row r="64">
      <c r="A64" t="inlineStr">
        <is>
          <t>week-number strip, so you never lose your place going right.</t>
        </is>
      </c>
    </row>
    <row r="65">
      <c r="A65" t="inlineStr"/>
    </row>
    <row r="66">
      <c r="A66" t="inlineStr">
        <is>
          <t>EVERY CONSTRAINT IS THREE ROWS, and they are the same three rows you wrote in the original</t>
        </is>
      </c>
    </row>
    <row r="67">
      <c r="A67" t="inlineStr">
        <is>
          <t>Group 5 model - 'Available Land' / '&lt;=' / '1', on the Model sheet at rows 16-18:</t>
        </is>
      </c>
    </row>
    <row r="68">
      <c r="A68" t="inlineStr">
        <is>
          <t xml:space="preserve">        LAND in the ground     18.0  18.0  18.0   ...   &lt;- what the plan uses</t>
        </is>
      </c>
    </row>
    <row r="69">
      <c r="A69" t="inlineStr">
        <is>
          <t xml:space="preserve">                                 &lt;=    &lt;=    &lt;=</t>
        </is>
      </c>
    </row>
    <row r="70">
      <c r="A70" t="inlineStr">
        <is>
          <t xml:space="preserve">          limit                80.0  80.0  80.0   ...   &lt;- what you have</t>
        </is>
      </c>
    </row>
    <row r="71">
      <c r="A71" t="inlineStr">
        <is>
          <t xml:space="preserve">          room left            62.0  62.0  62.0   ...</t>
        </is>
      </c>
    </row>
    <row r="72">
      <c r="A72" t="inlineStr">
        <is>
          <t>Read downwards, it IS the inequality. There are three of these: LAND, COLD STORE and</t>
        </is>
      </c>
    </row>
    <row r="73">
      <c r="A73" t="inlineStr">
        <is>
          <t>AMBIENT STORE. Red means that week is over the limit.</t>
        </is>
      </c>
    </row>
    <row r="74">
      <c r="A74" t="inlineStr"/>
    </row>
    <row r="75">
      <c r="A75" s="2" t="inlineStr">
        <is>
          <t>WHY 'LAND' IS HERE WHEN YOU ALREADY UNDERSTAND IT</t>
        </is>
      </c>
    </row>
    <row r="76">
      <c r="A76" t="inlineStr">
        <is>
          <t>Because it is the one constraint you already read fluently, so the two storage blocks below</t>
        </is>
      </c>
    </row>
    <row r="77">
      <c r="A77" t="inlineStr">
        <is>
          <t>it are a familiar SHAPE carrying an unfamiliar quantity. It also shows something worth</t>
        </is>
      </c>
    </row>
    <row r="78">
      <c r="A78" t="inlineStr">
        <is>
          <t>seeing: the five acre figures sum to 30 acres, but peak land in the ground is only 18,</t>
        </is>
      </c>
    </row>
    <row r="79">
      <c r="A79" t="inlineStr">
        <is>
          <t>because the plantings overlap in time rather than all at once. The app checks the WEEK, never</t>
        </is>
      </c>
    </row>
    <row r="80">
      <c r="A80" t="inlineStr">
        <is>
          <t>the annual sum - a distinction it once got wrong, satisfying a 3-acre commitment with</t>
        </is>
      </c>
    </row>
    <row r="81">
      <c r="A81" t="inlineStr">
        <is>
          <t>eighteen separate 1-acre plantings that never reserved a single acre.</t>
        </is>
      </c>
    </row>
    <row r="82">
      <c r="A82" t="inlineStr"/>
    </row>
    <row r="83">
      <c r="A83" s="2" t="inlineStr">
        <is>
          <t>CHECK IT WORKED - the numbers you should see on opening</t>
        </is>
      </c>
    </row>
    <row r="84">
      <c r="A84" t="inlineStr">
        <is>
          <t>With the sheet as shipped (every planting 6 acres, sell rate 1,000,000, shrink 0%):</t>
        </is>
      </c>
    </row>
    <row r="85">
      <c r="A85" s="3" t="inlineStr">
        <is>
          <t xml:space="preserve">     Peak LAND in the ground 18.0 acres in weeks 12-17  (you have 80)</t>
        </is>
      </c>
    </row>
    <row r="86">
      <c r="A86" s="3" t="inlineStr">
        <is>
          <t xml:space="preserve">     Peak COLD store         66.6 m3  in week 41      (cooler holds 275)</t>
        </is>
      </c>
    </row>
    <row r="87">
      <c r="A87" s="3" t="inlineStr">
        <is>
          <t xml:space="preserve">     Peak AMBIENT store      61.0 m3  in week 30      (barn holds 150)</t>
        </is>
      </c>
    </row>
    <row r="88">
      <c r="A88" s="3" t="inlineStr">
        <is>
          <t xml:space="preserve">     Stock carried out       0 lb in every week, for all three crops</t>
        </is>
      </c>
    </row>
    <row r="89">
      <c r="A89" t="inlineStr">
        <is>
          <t xml:space="preserve">     Spinach 51,000 lb sold | Kale 81,600 lb | Garlic 51,000 lb</t>
        </is>
      </c>
    </row>
    <row r="90">
      <c r="A90" t="inlineStr">
        <is>
          <t>If those match, the sheet is calculating correctly. If they do not, tell me - do not work</t>
        </is>
      </c>
    </row>
    <row r="91">
      <c r="A91" t="inlineStr">
        <is>
          <t>around it. A toy you cannot trust is worse than no toy.</t>
        </is>
      </c>
    </row>
    <row r="92">
      <c r="A92" t="inlineStr"/>
    </row>
    <row r="93">
      <c r="A93" t="inlineStr">
        <is>
          <t>Note the pair in bold: closing stock is ZERO all year, and the cooler is still 66.6 m3 full.</t>
        </is>
      </c>
    </row>
    <row r="94">
      <c r="A94" t="inlineStr"/>
    </row>
    <row r="95">
      <c r="A95" s="2" t="inlineStr">
        <is>
          <t>THREE THINGS TO TRY</t>
        </is>
      </c>
    </row>
    <row r="96">
      <c r="A96" t="inlineStr">
        <is>
          <t>Each one changes ONE input. Change it, look, then put it back.</t>
        </is>
      </c>
    </row>
    <row r="97">
      <c r="A97" t="inlineStr"/>
    </row>
    <row r="98">
      <c r="A98" s="3" t="inlineStr">
        <is>
          <t>EXPERIMENT 1 - overflow the stores.  Set all five acre cells (B6:B10) to 25.</t>
        </is>
      </c>
    </row>
    <row r="99">
      <c r="A99" t="inlineStr">
        <is>
          <t xml:space="preserve">   Expect: peak COLD 277.6 m3 in week 41, red for 1 week. Peak AMBIENT 254.0 m3 in week 30,</t>
        </is>
      </c>
    </row>
    <row r="100">
      <c r="A100" t="inlineStr">
        <is>
          <t xml:space="preserve">   red for 1 week. The app would refuse this plan outright - not warn about it, refuse it.</t>
        </is>
      </c>
    </row>
    <row r="101">
      <c r="A101" t="inlineStr">
        <is>
          <t xml:space="preserve">   Note it takes ~24.8 acres per planting to break the cooler, and the break is in ONE week.</t>
        </is>
      </c>
    </row>
    <row r="102">
      <c r="A102" t="inlineStr">
        <is>
          <t xml:space="preserve">   That is what a capacity constraint feels like: nothing, nothing, nothing, infeasible.</t>
        </is>
      </c>
    </row>
    <row r="103">
      <c r="A103" t="inlineStr"/>
    </row>
    <row r="104">
      <c r="A104" s="3" t="inlineStr">
        <is>
          <t>EXPERIMENT 2 - hold stock, and watch what does NOT happen.  Put acres back to 6.</t>
        </is>
      </c>
    </row>
    <row r="105">
      <c r="A105" s="3" t="inlineStr">
        <is>
          <t xml:space="preserve">   Set Garlic's 'Sell rate lb/wk' (H18) to 2000.</t>
        </is>
      </c>
    </row>
    <row r="106">
      <c r="A106" t="inlineStr">
        <is>
          <t xml:space="preserve">   Expect: Garlic now sells 46,000 lb instead of 51,000, carries 5,000 lb into next year,</t>
        </is>
      </c>
    </row>
    <row r="107">
      <c r="A107" t="inlineStr">
        <is>
          <t xml:space="preserve">   and 'Over shelf life?' reaches 19,000 lb.</t>
        </is>
      </c>
    </row>
    <row r="108">
      <c r="A108" s="3" t="inlineStr">
        <is>
          <t xml:space="preserve">   BUT peak AMBIENT is still 61.0 m3 in week 30 - EXACTLY as before.</t>
        </is>
      </c>
    </row>
    <row r="109">
      <c r="A109" t="inlineStr">
        <is>
          <t xml:space="preserve">   Holding stock for months did not raise the peak by a single cubic metre, because the peak</t>
        </is>
      </c>
    </row>
    <row r="110">
      <c r="A110" t="inlineStr">
        <is>
          <t xml:space="preserve">   is set by the week the harvest lands, not by how long you keep it. This is the same point</t>
        </is>
      </c>
    </row>
    <row r="111">
      <c r="A111" t="inlineStr">
        <is>
          <t xml:space="preserve">   as the opening one, arriving from the other direction: size the barn for harvest day.</t>
        </is>
      </c>
    </row>
    <row r="112">
      <c r="A112" t="inlineStr"/>
    </row>
    <row r="113">
      <c r="A113" s="3" t="inlineStr">
        <is>
          <t>EXPERIMENT 3 - make holding cost something.  Leave sell rate at 2000.</t>
        </is>
      </c>
    </row>
    <row r="114">
      <c r="A114" s="3" t="inlineStr">
        <is>
          <t xml:space="preserve">   Set Garlic's 'Shrink %/wk' (G18) to 2%.</t>
        </is>
      </c>
    </row>
    <row r="115">
      <c r="A115" t="inlineStr">
        <is>
          <t xml:space="preserve">   Expect: Garlic sells 41,474 lb (down 4,526), loses 9,526 lb to shrink, and carries NOTHING</t>
        </is>
      </c>
    </row>
    <row r="116">
      <c r="A116" t="inlineStr">
        <is>
          <t xml:space="preserve">   into next year - the shrink ate the leftovers. 'Over shelf life' falls to 10,047 lb.</t>
        </is>
      </c>
    </row>
    <row r="117">
      <c r="A117" t="inlineStr">
        <is>
          <t xml:space="preserve">   Without shrink, a long shelf life is pure upside and the model would hoard. Shrink is what</t>
        </is>
      </c>
    </row>
    <row r="118">
      <c r="A118" t="inlineStr">
        <is>
          <t xml:space="preserve">   makes storing a real decision with a real cost.</t>
        </is>
      </c>
    </row>
    <row r="119">
      <c r="A119" t="inlineStr"/>
    </row>
    <row r="120">
      <c r="A120" s="2" t="inlineStr">
        <is>
          <t>WHERE THE NUMBERS COME FROM</t>
        </is>
      </c>
    </row>
    <row r="121">
      <c r="A121" t="inlineStr">
        <is>
          <t>Every crop constant and every planting calendar on the Model sheet is READ FROM THE APP by</t>
        </is>
      </c>
    </row>
    <row r="122">
      <c r="A122" t="inlineStr">
        <is>
          <t>toy_models/build_toy_v1.py - the same succession generator the solver uses, and the same</t>
        </is>
      </c>
    </row>
    <row r="123">
      <c r="A123" t="inlineStr">
        <is>
          <t>golden payload the tests pin. Nothing is retyped. See the 'Crop data' sheet for the values</t>
        </is>
      </c>
    </row>
    <row r="124">
      <c r="A124" t="inlineStr">
        <is>
          <t>and their sources. Re-run the generator after any crop-data change.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124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30" customWidth="1" min="1" max="1"/>
    <col width="13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  <col width="8.5" customWidth="1" min="40" max="40"/>
    <col width="8.5" customWidth="1" min="41" max="41"/>
    <col width="8.5" customWidth="1" min="42" max="42"/>
    <col width="8.5" customWidth="1" min="43" max="43"/>
    <col width="8.5" customWidth="1" min="44" max="44"/>
    <col width="8.5" customWidth="1" min="45" max="45"/>
    <col width="8.5" customWidth="1" min="46" max="46"/>
    <col width="8.5" customWidth="1" min="47" max="47"/>
    <col width="8.5" customWidth="1" min="48" max="48"/>
    <col width="8.5" customWidth="1" min="49" max="49"/>
    <col width="8.5" customWidth="1" min="50" max="50"/>
    <col width="8.5" customWidth="1" min="51" max="51"/>
    <col width="8.5" customWidth="1" min="52" max="52"/>
    <col width="8.5" customWidth="1" min="53" max="53"/>
    <col width="8.5" customWidth="1" min="54" max="54"/>
  </cols>
  <sheetData>
    <row r="1">
      <c r="A1" s="1" t="inlineStr">
        <is>
          <t>FARM TOY MODEL — v1: the spine + storage</t>
        </is>
      </c>
    </row>
    <row r="2">
      <c r="A2" s="4" t="inlineStr">
        <is>
          <t>Type in the YELLOW cells only. Everything else is a formula. Read the 'READ ME' sheet first.</t>
        </is>
      </c>
    </row>
    <row r="4">
      <c r="A4" s="2" t="inlineStr">
        <is>
          <t>1 — WHAT YOU PLANT   (acres)</t>
        </is>
      </c>
    </row>
    <row r="5">
      <c r="A5" s="5" t="inlineStr">
        <is>
          <t>Succession</t>
        </is>
      </c>
      <c r="B5" s="5" t="inlineStr">
        <is>
          <t>Acres</t>
        </is>
      </c>
      <c r="C5" s="5" t="inlineStr">
        <is>
          <t>Crop</t>
        </is>
      </c>
      <c r="D5" s="5" t="inlineStr">
        <is>
          <t>Harvest weeks</t>
        </is>
      </c>
      <c r="E5" s="5" t="inlineStr">
        <is>
          <t>lb/harvest wk at 1 acre</t>
        </is>
      </c>
    </row>
    <row r="6">
      <c r="A6" s="6" t="inlineStr">
        <is>
          <t>Spinach W10</t>
        </is>
      </c>
      <c r="B6" s="7" t="n">
        <v>6</v>
      </c>
      <c r="C6" s="6" t="inlineStr">
        <is>
          <t>Spinach</t>
        </is>
      </c>
      <c r="D6" s="8" t="inlineStr">
        <is>
          <t>W16, W17</t>
        </is>
      </c>
      <c r="E6" s="9" t="n">
        <v>2125</v>
      </c>
    </row>
    <row r="7">
      <c r="A7" s="6" t="inlineStr">
        <is>
          <t>Spinach W34</t>
        </is>
      </c>
      <c r="B7" s="7" t="n">
        <v>6</v>
      </c>
      <c r="C7" s="6" t="inlineStr">
        <is>
          <t>Spinach</t>
        </is>
      </c>
      <c r="D7" s="8" t="inlineStr">
        <is>
          <t>W40, W41</t>
        </is>
      </c>
      <c r="E7" s="9" t="n">
        <v>2125</v>
      </c>
    </row>
    <row r="8">
      <c r="A8" s="6" t="inlineStr">
        <is>
          <t>Kale W12</t>
        </is>
      </c>
      <c r="B8" s="7" t="n">
        <v>6</v>
      </c>
      <c r="C8" s="6" t="inlineStr">
        <is>
          <t>Kale</t>
        </is>
      </c>
      <c r="D8" s="8" t="inlineStr">
        <is>
          <t>W21, W22, W23, W24</t>
        </is>
      </c>
      <c r="E8" s="9" t="n">
        <v>1700</v>
      </c>
    </row>
    <row r="9">
      <c r="A9" s="6" t="inlineStr">
        <is>
          <t>Kale W32</t>
        </is>
      </c>
      <c r="B9" s="7" t="n">
        <v>6</v>
      </c>
      <c r="C9" s="6" t="inlineStr">
        <is>
          <t>Kale</t>
        </is>
      </c>
      <c r="D9" s="8" t="inlineStr">
        <is>
          <t>W41, W42, W43, W44</t>
        </is>
      </c>
      <c r="E9" s="9" t="n">
        <v>1700</v>
      </c>
    </row>
    <row r="10">
      <c r="A10" s="6" t="inlineStr">
        <is>
          <t>Garlic W47</t>
        </is>
      </c>
      <c r="B10" s="7" t="n">
        <v>6</v>
      </c>
      <c r="C10" s="6" t="inlineStr">
        <is>
          <t>Garlic</t>
        </is>
      </c>
      <c r="D10" s="8" t="inlineStr">
        <is>
          <t>W30</t>
        </is>
      </c>
      <c r="E10" s="9" t="n">
        <v>8500</v>
      </c>
    </row>
    <row r="11">
      <c r="A11" s="3" t="inlineStr">
        <is>
          <t>Total acres planted</t>
        </is>
      </c>
      <c r="B11" s="10">
        <f>SUM(B6:B10)</f>
        <v/>
      </c>
      <c r="C11" s="4" t="inlineStr">
        <is>
          <t>sum of the five above — but they overlap in time, so this is NOT peak land use</t>
        </is>
      </c>
    </row>
    <row r="12">
      <c r="A12" s="3" t="inlineStr">
        <is>
          <t>Land you have</t>
        </is>
      </c>
      <c r="B12" s="7" t="n">
        <v>80</v>
      </c>
      <c r="C12" s="4" t="inlineStr">
        <is>
          <t>acres — the limit the 'LAND in the ground' rows below are measured against</t>
        </is>
      </c>
    </row>
    <row r="14">
      <c r="A14" s="2" t="inlineStr">
        <is>
          <t>2 — HOW EACH CROP BEHAVES</t>
        </is>
      </c>
    </row>
    <row r="15">
      <c r="A15" s="5" t="inlineStr">
        <is>
          <t>Crop</t>
        </is>
      </c>
      <c r="B15" s="5" t="inlineStr">
        <is>
          <t>Yield lb/acre</t>
        </is>
      </c>
      <c r="C15" s="5" t="inlineStr">
        <is>
          <t>Sell-through</t>
        </is>
      </c>
      <c r="D15" s="5" t="inlineStr">
        <is>
          <t>m3 per lb</t>
        </is>
      </c>
      <c r="E15" s="5" t="inlineStr">
        <is>
          <t>Store</t>
        </is>
      </c>
      <c r="F15" s="5" t="inlineStr">
        <is>
          <t>Shelf life wk</t>
        </is>
      </c>
      <c r="G15" s="5" t="inlineStr">
        <is>
          <t>Shrink %/wk</t>
        </is>
      </c>
      <c r="H15" s="5" t="inlineStr">
        <is>
          <t>Sell rate lb/wk</t>
        </is>
      </c>
    </row>
    <row r="16">
      <c r="A16" s="6" t="inlineStr">
        <is>
          <t>Spinach</t>
        </is>
      </c>
      <c r="B16" s="9" t="n">
        <v>5000</v>
      </c>
      <c r="C16" s="11" t="n">
        <v>0.85</v>
      </c>
      <c r="D16" s="12" t="n">
        <v>0.002197967741935484</v>
      </c>
      <c r="E16" s="13" t="inlineStr">
        <is>
          <t>Cold</t>
        </is>
      </c>
      <c r="F16" s="14" t="n">
        <v>2</v>
      </c>
      <c r="G16" s="15" t="n">
        <v>0</v>
      </c>
      <c r="H16" s="16" t="n">
        <v>1000000</v>
      </c>
    </row>
    <row r="17">
      <c r="A17" s="6" t="inlineStr">
        <is>
          <t>Kale</t>
        </is>
      </c>
      <c r="B17" s="9" t="n">
        <v>8000</v>
      </c>
      <c r="C17" s="11" t="n">
        <v>0.85</v>
      </c>
      <c r="D17" s="12" t="n">
        <v>0.003785388888888889</v>
      </c>
      <c r="E17" s="13" t="inlineStr">
        <is>
          <t>Cold</t>
        </is>
      </c>
      <c r="F17" s="14" t="n">
        <v>2</v>
      </c>
      <c r="G17" s="15" t="n">
        <v>0</v>
      </c>
      <c r="H17" s="16" t="n">
        <v>1000000</v>
      </c>
    </row>
    <row r="18">
      <c r="A18" s="6" t="inlineStr">
        <is>
          <t>Garlic</t>
        </is>
      </c>
      <c r="B18" s="9" t="n">
        <v>10000</v>
      </c>
      <c r="C18" s="11" t="n">
        <v>0.85</v>
      </c>
      <c r="D18" s="12" t="n">
        <v>0.001195385964912281</v>
      </c>
      <c r="E18" s="17" t="inlineStr">
        <is>
          <t>Ambient</t>
        </is>
      </c>
      <c r="F18" s="14" t="n">
        <v>16</v>
      </c>
      <c r="G18" s="15" t="n">
        <v>0</v>
      </c>
      <c r="H18" s="16" t="n">
        <v>1000000</v>
      </c>
    </row>
    <row r="19">
      <c r="A19" s="4" t="inlineStr">
        <is>
          <t>Shrink is weight lost in store each week. Sell rate stands in for the buyer (layer 2 makes it real).</t>
        </is>
      </c>
    </row>
    <row r="21">
      <c r="A21" s="2" t="inlineStr">
        <is>
          <t>3 — WHAT YOU CAN STORE</t>
        </is>
      </c>
    </row>
    <row r="22">
      <c r="A22" s="6" t="inlineStr">
        <is>
          <t>Cold store (cooler) capacity</t>
        </is>
      </c>
      <c r="B22" s="16" t="n">
        <v>275</v>
      </c>
      <c r="C22" s="4" t="inlineStr">
        <is>
          <t>m3   — Spinach, Kale</t>
        </is>
      </c>
    </row>
    <row r="23">
      <c r="A23" s="6" t="inlineStr">
        <is>
          <t>Ambient store (barn) capacity</t>
        </is>
      </c>
      <c r="B23" s="16" t="n">
        <v>150</v>
      </c>
      <c r="C23" s="4" t="inlineStr">
        <is>
          <t>m3   — Garlic (cured; the cooler would damage it)</t>
        </is>
      </c>
    </row>
    <row r="25">
      <c r="A25" s="2" t="inlineStr">
        <is>
          <t>4 — THE YEAR, WEEK BY WEEK</t>
        </is>
      </c>
    </row>
    <row r="26">
      <c r="A26" s="18" t="inlineStr">
        <is>
          <t>Week</t>
        </is>
      </c>
      <c r="B26" s="19" t="inlineStr"/>
      <c r="C26" s="20" t="n">
        <v>1</v>
      </c>
      <c r="D26" s="20" t="n">
        <v>2</v>
      </c>
      <c r="E26" s="20" t="n">
        <v>3</v>
      </c>
      <c r="F26" s="20" t="n">
        <v>4</v>
      </c>
      <c r="G26" s="20" t="n">
        <v>5</v>
      </c>
      <c r="H26" s="20" t="n">
        <v>6</v>
      </c>
      <c r="I26" s="20" t="n">
        <v>7</v>
      </c>
      <c r="J26" s="20" t="n">
        <v>8</v>
      </c>
      <c r="K26" s="20" t="n">
        <v>9</v>
      </c>
      <c r="L26" s="20" t="n">
        <v>10</v>
      </c>
      <c r="M26" s="20" t="n">
        <v>11</v>
      </c>
      <c r="N26" s="20" t="n">
        <v>12</v>
      </c>
      <c r="O26" s="20" t="n">
        <v>13</v>
      </c>
      <c r="P26" s="20" t="n">
        <v>14</v>
      </c>
      <c r="Q26" s="20" t="n">
        <v>15</v>
      </c>
      <c r="R26" s="20" t="n">
        <v>16</v>
      </c>
      <c r="S26" s="20" t="n">
        <v>17</v>
      </c>
      <c r="T26" s="20" t="n">
        <v>18</v>
      </c>
      <c r="U26" s="20" t="n">
        <v>19</v>
      </c>
      <c r="V26" s="20" t="n">
        <v>20</v>
      </c>
      <c r="W26" s="20" t="n">
        <v>21</v>
      </c>
      <c r="X26" s="20" t="n">
        <v>22</v>
      </c>
      <c r="Y26" s="20" t="n">
        <v>23</v>
      </c>
      <c r="Z26" s="20" t="n">
        <v>24</v>
      </c>
      <c r="AA26" s="20" t="n">
        <v>25</v>
      </c>
      <c r="AB26" s="20" t="n">
        <v>26</v>
      </c>
      <c r="AC26" s="20" t="n">
        <v>27</v>
      </c>
      <c r="AD26" s="20" t="n">
        <v>28</v>
      </c>
      <c r="AE26" s="20" t="n">
        <v>29</v>
      </c>
      <c r="AF26" s="20" t="n">
        <v>30</v>
      </c>
      <c r="AG26" s="20" t="n">
        <v>31</v>
      </c>
      <c r="AH26" s="20" t="n">
        <v>32</v>
      </c>
      <c r="AI26" s="20" t="n">
        <v>33</v>
      </c>
      <c r="AJ26" s="20" t="n">
        <v>34</v>
      </c>
      <c r="AK26" s="20" t="n">
        <v>35</v>
      </c>
      <c r="AL26" s="20" t="n">
        <v>36</v>
      </c>
      <c r="AM26" s="20" t="n">
        <v>37</v>
      </c>
      <c r="AN26" s="20" t="n">
        <v>38</v>
      </c>
      <c r="AO26" s="20" t="n">
        <v>39</v>
      </c>
      <c r="AP26" s="20" t="n">
        <v>40</v>
      </c>
      <c r="AQ26" s="20" t="n">
        <v>41</v>
      </c>
      <c r="AR26" s="20" t="n">
        <v>42</v>
      </c>
      <c r="AS26" s="20" t="n">
        <v>43</v>
      </c>
      <c r="AT26" s="20" t="n">
        <v>44</v>
      </c>
      <c r="AU26" s="20" t="n">
        <v>45</v>
      </c>
      <c r="AV26" s="20" t="n">
        <v>46</v>
      </c>
      <c r="AW26" s="20" t="n">
        <v>47</v>
      </c>
      <c r="AX26" s="20" t="n">
        <v>48</v>
      </c>
      <c r="AY26" s="20" t="n">
        <v>49</v>
      </c>
      <c r="AZ26" s="20" t="n">
        <v>50</v>
      </c>
      <c r="BA26" s="20" t="n">
        <v>51</v>
      </c>
      <c r="BB26" s="20" t="n">
        <v>52</v>
      </c>
    </row>
    <row r="27">
      <c r="A27" s="3" t="inlineStr">
        <is>
          <t>PLANTING CALENDAR</t>
        </is>
      </c>
    </row>
    <row r="28">
      <c r="A28" s="21" t="inlineStr">
        <is>
          <t>Spinach W10</t>
        </is>
      </c>
      <c r="B28" s="4" t="inlineStr">
        <is>
          <t>P/G/H</t>
        </is>
      </c>
      <c r="L28" s="22" t="inlineStr">
        <is>
          <t>P</t>
        </is>
      </c>
      <c r="M28" s="22" t="inlineStr">
        <is>
          <t>G</t>
        </is>
      </c>
      <c r="N28" s="22" t="inlineStr">
        <is>
          <t>G</t>
        </is>
      </c>
      <c r="O28" s="22" t="inlineStr">
        <is>
          <t>G</t>
        </is>
      </c>
      <c r="P28" s="22" t="inlineStr">
        <is>
          <t>G</t>
        </is>
      </c>
      <c r="Q28" s="22" t="inlineStr">
        <is>
          <t>G</t>
        </is>
      </c>
      <c r="R28" s="22" t="inlineStr">
        <is>
          <t>H</t>
        </is>
      </c>
      <c r="S28" s="22" t="inlineStr">
        <is>
          <t>H</t>
        </is>
      </c>
    </row>
    <row r="29">
      <c r="A29" s="21" t="inlineStr">
        <is>
          <t xml:space="preserve">   lbs harvested (sellable)</t>
        </is>
      </c>
      <c r="B29" s="4" t="inlineStr">
        <is>
          <t>lb</t>
        </is>
      </c>
      <c r="C29" s="23">
        <f>IF(C28="H",$B$6*$B$16*$C$16/2,0)</f>
        <v/>
      </c>
      <c r="D29" s="23">
        <f>IF(D28="H",$B$6*$B$16*$C$16/2,0)</f>
        <v/>
      </c>
      <c r="E29" s="23">
        <f>IF(E28="H",$B$6*$B$16*$C$16/2,0)</f>
        <v/>
      </c>
      <c r="F29" s="23">
        <f>IF(F28="H",$B$6*$B$16*$C$16/2,0)</f>
        <v/>
      </c>
      <c r="G29" s="23">
        <f>IF(G28="H",$B$6*$B$16*$C$16/2,0)</f>
        <v/>
      </c>
      <c r="H29" s="23">
        <f>IF(H28="H",$B$6*$B$16*$C$16/2,0)</f>
        <v/>
      </c>
      <c r="I29" s="23">
        <f>IF(I28="H",$B$6*$B$16*$C$16/2,0)</f>
        <v/>
      </c>
      <c r="J29" s="23">
        <f>IF(J28="H",$B$6*$B$16*$C$16/2,0)</f>
        <v/>
      </c>
      <c r="K29" s="23">
        <f>IF(K28="H",$B$6*$B$16*$C$16/2,0)</f>
        <v/>
      </c>
      <c r="L29" s="23">
        <f>IF(L28="H",$B$6*$B$16*$C$16/2,0)</f>
        <v/>
      </c>
      <c r="M29" s="23">
        <f>IF(M28="H",$B$6*$B$16*$C$16/2,0)</f>
        <v/>
      </c>
      <c r="N29" s="23">
        <f>IF(N28="H",$B$6*$B$16*$C$16/2,0)</f>
        <v/>
      </c>
      <c r="O29" s="23">
        <f>IF(O28="H",$B$6*$B$16*$C$16/2,0)</f>
        <v/>
      </c>
      <c r="P29" s="23">
        <f>IF(P28="H",$B$6*$B$16*$C$16/2,0)</f>
        <v/>
      </c>
      <c r="Q29" s="23">
        <f>IF(Q28="H",$B$6*$B$16*$C$16/2,0)</f>
        <v/>
      </c>
      <c r="R29" s="23">
        <f>IF(R28="H",$B$6*$B$16*$C$16/2,0)</f>
        <v/>
      </c>
      <c r="S29" s="23">
        <f>IF(S28="H",$B$6*$B$16*$C$16/2,0)</f>
        <v/>
      </c>
      <c r="T29" s="23">
        <f>IF(T28="H",$B$6*$B$16*$C$16/2,0)</f>
        <v/>
      </c>
      <c r="U29" s="23">
        <f>IF(U28="H",$B$6*$B$16*$C$16/2,0)</f>
        <v/>
      </c>
      <c r="V29" s="23">
        <f>IF(V28="H",$B$6*$B$16*$C$16/2,0)</f>
        <v/>
      </c>
      <c r="W29" s="23">
        <f>IF(W28="H",$B$6*$B$16*$C$16/2,0)</f>
        <v/>
      </c>
      <c r="X29" s="23">
        <f>IF(X28="H",$B$6*$B$16*$C$16/2,0)</f>
        <v/>
      </c>
      <c r="Y29" s="23">
        <f>IF(Y28="H",$B$6*$B$16*$C$16/2,0)</f>
        <v/>
      </c>
      <c r="Z29" s="23">
        <f>IF(Z28="H",$B$6*$B$16*$C$16/2,0)</f>
        <v/>
      </c>
      <c r="AA29" s="23">
        <f>IF(AA28="H",$B$6*$B$16*$C$16/2,0)</f>
        <v/>
      </c>
      <c r="AB29" s="23">
        <f>IF(AB28="H",$B$6*$B$16*$C$16/2,0)</f>
        <v/>
      </c>
      <c r="AC29" s="23">
        <f>IF(AC28="H",$B$6*$B$16*$C$16/2,0)</f>
        <v/>
      </c>
      <c r="AD29" s="23">
        <f>IF(AD28="H",$B$6*$B$16*$C$16/2,0)</f>
        <v/>
      </c>
      <c r="AE29" s="23">
        <f>IF(AE28="H",$B$6*$B$16*$C$16/2,0)</f>
        <v/>
      </c>
      <c r="AF29" s="23">
        <f>IF(AF28="H",$B$6*$B$16*$C$16/2,0)</f>
        <v/>
      </c>
      <c r="AG29" s="23">
        <f>IF(AG28="H",$B$6*$B$16*$C$16/2,0)</f>
        <v/>
      </c>
      <c r="AH29" s="23">
        <f>IF(AH28="H",$B$6*$B$16*$C$16/2,0)</f>
        <v/>
      </c>
      <c r="AI29" s="23">
        <f>IF(AI28="H",$B$6*$B$16*$C$16/2,0)</f>
        <v/>
      </c>
      <c r="AJ29" s="23">
        <f>IF(AJ28="H",$B$6*$B$16*$C$16/2,0)</f>
        <v/>
      </c>
      <c r="AK29" s="23">
        <f>IF(AK28="H",$B$6*$B$16*$C$16/2,0)</f>
        <v/>
      </c>
      <c r="AL29" s="23">
        <f>IF(AL28="H",$B$6*$B$16*$C$16/2,0)</f>
        <v/>
      </c>
      <c r="AM29" s="23">
        <f>IF(AM28="H",$B$6*$B$16*$C$16/2,0)</f>
        <v/>
      </c>
      <c r="AN29" s="23">
        <f>IF(AN28="H",$B$6*$B$16*$C$16/2,0)</f>
        <v/>
      </c>
      <c r="AO29" s="23">
        <f>IF(AO28="H",$B$6*$B$16*$C$16/2,0)</f>
        <v/>
      </c>
      <c r="AP29" s="23">
        <f>IF(AP28="H",$B$6*$B$16*$C$16/2,0)</f>
        <v/>
      </c>
      <c r="AQ29" s="23">
        <f>IF(AQ28="H",$B$6*$B$16*$C$16/2,0)</f>
        <v/>
      </c>
      <c r="AR29" s="23">
        <f>IF(AR28="H",$B$6*$B$16*$C$16/2,0)</f>
        <v/>
      </c>
      <c r="AS29" s="23">
        <f>IF(AS28="H",$B$6*$B$16*$C$16/2,0)</f>
        <v/>
      </c>
      <c r="AT29" s="23">
        <f>IF(AT28="H",$B$6*$B$16*$C$16/2,0)</f>
        <v/>
      </c>
      <c r="AU29" s="23">
        <f>IF(AU28="H",$B$6*$B$16*$C$16/2,0)</f>
        <v/>
      </c>
      <c r="AV29" s="23">
        <f>IF(AV28="H",$B$6*$B$16*$C$16/2,0)</f>
        <v/>
      </c>
      <c r="AW29" s="23">
        <f>IF(AW28="H",$B$6*$B$16*$C$16/2,0)</f>
        <v/>
      </c>
      <c r="AX29" s="23">
        <f>IF(AX28="H",$B$6*$B$16*$C$16/2,0)</f>
        <v/>
      </c>
      <c r="AY29" s="23">
        <f>IF(AY28="H",$B$6*$B$16*$C$16/2,0)</f>
        <v/>
      </c>
      <c r="AZ29" s="23">
        <f>IF(AZ28="H",$B$6*$B$16*$C$16/2,0)</f>
        <v/>
      </c>
      <c r="BA29" s="23">
        <f>IF(BA28="H",$B$6*$B$16*$C$16/2,0)</f>
        <v/>
      </c>
      <c r="BB29" s="23">
        <f>IF(BB28="H",$B$6*$B$16*$C$16/2,0)</f>
        <v/>
      </c>
    </row>
    <row r="30">
      <c r="A30" s="21" t="inlineStr">
        <is>
          <t>Spinach W34</t>
        </is>
      </c>
      <c r="B30" s="4" t="inlineStr">
        <is>
          <t>P/G/H</t>
        </is>
      </c>
      <c r="AJ30" s="22" t="inlineStr">
        <is>
          <t>P</t>
        </is>
      </c>
      <c r="AK30" s="22" t="inlineStr">
        <is>
          <t>G</t>
        </is>
      </c>
      <c r="AL30" s="22" t="inlineStr">
        <is>
          <t>G</t>
        </is>
      </c>
      <c r="AM30" s="22" t="inlineStr">
        <is>
          <t>G</t>
        </is>
      </c>
      <c r="AN30" s="22" t="inlineStr">
        <is>
          <t>G</t>
        </is>
      </c>
      <c r="AO30" s="22" t="inlineStr">
        <is>
          <t>G</t>
        </is>
      </c>
      <c r="AP30" s="22" t="inlineStr">
        <is>
          <t>H</t>
        </is>
      </c>
      <c r="AQ30" s="22" t="inlineStr">
        <is>
          <t>H</t>
        </is>
      </c>
    </row>
    <row r="31">
      <c r="A31" s="21" t="inlineStr">
        <is>
          <t xml:space="preserve">   lbs harvested (sellable)</t>
        </is>
      </c>
      <c r="B31" s="4" t="inlineStr">
        <is>
          <t>lb</t>
        </is>
      </c>
      <c r="C31" s="23">
        <f>IF(C30="H",$B$7*$B$16*$C$16/2,0)</f>
        <v/>
      </c>
      <c r="D31" s="23">
        <f>IF(D30="H",$B$7*$B$16*$C$16/2,0)</f>
        <v/>
      </c>
      <c r="E31" s="23">
        <f>IF(E30="H",$B$7*$B$16*$C$16/2,0)</f>
        <v/>
      </c>
      <c r="F31" s="23">
        <f>IF(F30="H",$B$7*$B$16*$C$16/2,0)</f>
        <v/>
      </c>
      <c r="G31" s="23">
        <f>IF(G30="H",$B$7*$B$16*$C$16/2,0)</f>
        <v/>
      </c>
      <c r="H31" s="23">
        <f>IF(H30="H",$B$7*$B$16*$C$16/2,0)</f>
        <v/>
      </c>
      <c r="I31" s="23">
        <f>IF(I30="H",$B$7*$B$16*$C$16/2,0)</f>
        <v/>
      </c>
      <c r="J31" s="23">
        <f>IF(J30="H",$B$7*$B$16*$C$16/2,0)</f>
        <v/>
      </c>
      <c r="K31" s="23">
        <f>IF(K30="H",$B$7*$B$16*$C$16/2,0)</f>
        <v/>
      </c>
      <c r="L31" s="23">
        <f>IF(L30="H",$B$7*$B$16*$C$16/2,0)</f>
        <v/>
      </c>
      <c r="M31" s="23">
        <f>IF(M30="H",$B$7*$B$16*$C$16/2,0)</f>
        <v/>
      </c>
      <c r="N31" s="23">
        <f>IF(N30="H",$B$7*$B$16*$C$16/2,0)</f>
        <v/>
      </c>
      <c r="O31" s="23">
        <f>IF(O30="H",$B$7*$B$16*$C$16/2,0)</f>
        <v/>
      </c>
      <c r="P31" s="23">
        <f>IF(P30="H",$B$7*$B$16*$C$16/2,0)</f>
        <v/>
      </c>
      <c r="Q31" s="23">
        <f>IF(Q30="H",$B$7*$B$16*$C$16/2,0)</f>
        <v/>
      </c>
      <c r="R31" s="23">
        <f>IF(R30="H",$B$7*$B$16*$C$16/2,0)</f>
        <v/>
      </c>
      <c r="S31" s="23">
        <f>IF(S30="H",$B$7*$B$16*$C$16/2,0)</f>
        <v/>
      </c>
      <c r="T31" s="23">
        <f>IF(T30="H",$B$7*$B$16*$C$16/2,0)</f>
        <v/>
      </c>
      <c r="U31" s="23">
        <f>IF(U30="H",$B$7*$B$16*$C$16/2,0)</f>
        <v/>
      </c>
      <c r="V31" s="23">
        <f>IF(V30="H",$B$7*$B$16*$C$16/2,0)</f>
        <v/>
      </c>
      <c r="W31" s="23">
        <f>IF(W30="H",$B$7*$B$16*$C$16/2,0)</f>
        <v/>
      </c>
      <c r="X31" s="23">
        <f>IF(X30="H",$B$7*$B$16*$C$16/2,0)</f>
        <v/>
      </c>
      <c r="Y31" s="23">
        <f>IF(Y30="H",$B$7*$B$16*$C$16/2,0)</f>
        <v/>
      </c>
      <c r="Z31" s="23">
        <f>IF(Z30="H",$B$7*$B$16*$C$16/2,0)</f>
        <v/>
      </c>
      <c r="AA31" s="23">
        <f>IF(AA30="H",$B$7*$B$16*$C$16/2,0)</f>
        <v/>
      </c>
      <c r="AB31" s="23">
        <f>IF(AB30="H",$B$7*$B$16*$C$16/2,0)</f>
        <v/>
      </c>
      <c r="AC31" s="23">
        <f>IF(AC30="H",$B$7*$B$16*$C$16/2,0)</f>
        <v/>
      </c>
      <c r="AD31" s="23">
        <f>IF(AD30="H",$B$7*$B$16*$C$16/2,0)</f>
        <v/>
      </c>
      <c r="AE31" s="23">
        <f>IF(AE30="H",$B$7*$B$16*$C$16/2,0)</f>
        <v/>
      </c>
      <c r="AF31" s="23">
        <f>IF(AF30="H",$B$7*$B$16*$C$16/2,0)</f>
        <v/>
      </c>
      <c r="AG31" s="23">
        <f>IF(AG30="H",$B$7*$B$16*$C$16/2,0)</f>
        <v/>
      </c>
      <c r="AH31" s="23">
        <f>IF(AH30="H",$B$7*$B$16*$C$16/2,0)</f>
        <v/>
      </c>
      <c r="AI31" s="23">
        <f>IF(AI30="H",$B$7*$B$16*$C$16/2,0)</f>
        <v/>
      </c>
      <c r="AJ31" s="23">
        <f>IF(AJ30="H",$B$7*$B$16*$C$16/2,0)</f>
        <v/>
      </c>
      <c r="AK31" s="23">
        <f>IF(AK30="H",$B$7*$B$16*$C$16/2,0)</f>
        <v/>
      </c>
      <c r="AL31" s="23">
        <f>IF(AL30="H",$B$7*$B$16*$C$16/2,0)</f>
        <v/>
      </c>
      <c r="AM31" s="23">
        <f>IF(AM30="H",$B$7*$B$16*$C$16/2,0)</f>
        <v/>
      </c>
      <c r="AN31" s="23">
        <f>IF(AN30="H",$B$7*$B$16*$C$16/2,0)</f>
        <v/>
      </c>
      <c r="AO31" s="23">
        <f>IF(AO30="H",$B$7*$B$16*$C$16/2,0)</f>
        <v/>
      </c>
      <c r="AP31" s="23">
        <f>IF(AP30="H",$B$7*$B$16*$C$16/2,0)</f>
        <v/>
      </c>
      <c r="AQ31" s="23">
        <f>IF(AQ30="H",$B$7*$B$16*$C$16/2,0)</f>
        <v/>
      </c>
      <c r="AR31" s="23">
        <f>IF(AR30="H",$B$7*$B$16*$C$16/2,0)</f>
        <v/>
      </c>
      <c r="AS31" s="23">
        <f>IF(AS30="H",$B$7*$B$16*$C$16/2,0)</f>
        <v/>
      </c>
      <c r="AT31" s="23">
        <f>IF(AT30="H",$B$7*$B$16*$C$16/2,0)</f>
        <v/>
      </c>
      <c r="AU31" s="23">
        <f>IF(AU30="H",$B$7*$B$16*$C$16/2,0)</f>
        <v/>
      </c>
      <c r="AV31" s="23">
        <f>IF(AV30="H",$B$7*$B$16*$C$16/2,0)</f>
        <v/>
      </c>
      <c r="AW31" s="23">
        <f>IF(AW30="H",$B$7*$B$16*$C$16/2,0)</f>
        <v/>
      </c>
      <c r="AX31" s="23">
        <f>IF(AX30="H",$B$7*$B$16*$C$16/2,0)</f>
        <v/>
      </c>
      <c r="AY31" s="23">
        <f>IF(AY30="H",$B$7*$B$16*$C$16/2,0)</f>
        <v/>
      </c>
      <c r="AZ31" s="23">
        <f>IF(AZ30="H",$B$7*$B$16*$C$16/2,0)</f>
        <v/>
      </c>
      <c r="BA31" s="23">
        <f>IF(BA30="H",$B$7*$B$16*$C$16/2,0)</f>
        <v/>
      </c>
      <c r="BB31" s="23">
        <f>IF(BB30="H",$B$7*$B$16*$C$16/2,0)</f>
        <v/>
      </c>
    </row>
    <row r="32">
      <c r="A32" s="21" t="inlineStr">
        <is>
          <t>Kale W12</t>
        </is>
      </c>
      <c r="B32" s="4" t="inlineStr">
        <is>
          <t>P/G/H</t>
        </is>
      </c>
      <c r="N32" s="22" t="inlineStr">
        <is>
          <t>P</t>
        </is>
      </c>
      <c r="O32" s="22" t="inlineStr">
        <is>
          <t>G</t>
        </is>
      </c>
      <c r="P32" s="22" t="inlineStr">
        <is>
          <t>G</t>
        </is>
      </c>
      <c r="Q32" s="22" t="inlineStr">
        <is>
          <t>G</t>
        </is>
      </c>
      <c r="R32" s="22" t="inlineStr">
        <is>
          <t>G</t>
        </is>
      </c>
      <c r="S32" s="22" t="inlineStr">
        <is>
          <t>G</t>
        </is>
      </c>
      <c r="T32" s="22" t="inlineStr">
        <is>
          <t>G</t>
        </is>
      </c>
      <c r="U32" s="22" t="inlineStr">
        <is>
          <t>G</t>
        </is>
      </c>
      <c r="V32" s="22" t="inlineStr">
        <is>
          <t>G</t>
        </is>
      </c>
      <c r="W32" s="22" t="inlineStr">
        <is>
          <t>H</t>
        </is>
      </c>
      <c r="X32" s="22" t="inlineStr">
        <is>
          <t>H</t>
        </is>
      </c>
      <c r="Y32" s="22" t="inlineStr">
        <is>
          <t>H</t>
        </is>
      </c>
      <c r="Z32" s="22" t="inlineStr">
        <is>
          <t>H</t>
        </is>
      </c>
    </row>
    <row r="33">
      <c r="A33" s="21" t="inlineStr">
        <is>
          <t xml:space="preserve">   lbs harvested (sellable)</t>
        </is>
      </c>
      <c r="B33" s="4" t="inlineStr">
        <is>
          <t>lb</t>
        </is>
      </c>
      <c r="C33" s="23">
        <f>IF(C32="H",$B$8*$B$17*$C$17/4,0)</f>
        <v/>
      </c>
      <c r="D33" s="23">
        <f>IF(D32="H",$B$8*$B$17*$C$17/4,0)</f>
        <v/>
      </c>
      <c r="E33" s="23">
        <f>IF(E32="H",$B$8*$B$17*$C$17/4,0)</f>
        <v/>
      </c>
      <c r="F33" s="23">
        <f>IF(F32="H",$B$8*$B$17*$C$17/4,0)</f>
        <v/>
      </c>
      <c r="G33" s="23">
        <f>IF(G32="H",$B$8*$B$17*$C$17/4,0)</f>
        <v/>
      </c>
      <c r="H33" s="23">
        <f>IF(H32="H",$B$8*$B$17*$C$17/4,0)</f>
        <v/>
      </c>
      <c r="I33" s="23">
        <f>IF(I32="H",$B$8*$B$17*$C$17/4,0)</f>
        <v/>
      </c>
      <c r="J33" s="23">
        <f>IF(J32="H",$B$8*$B$17*$C$17/4,0)</f>
        <v/>
      </c>
      <c r="K33" s="23">
        <f>IF(K32="H",$B$8*$B$17*$C$17/4,0)</f>
        <v/>
      </c>
      <c r="L33" s="23">
        <f>IF(L32="H",$B$8*$B$17*$C$17/4,0)</f>
        <v/>
      </c>
      <c r="M33" s="23">
        <f>IF(M32="H",$B$8*$B$17*$C$17/4,0)</f>
        <v/>
      </c>
      <c r="N33" s="23">
        <f>IF(N32="H",$B$8*$B$17*$C$17/4,0)</f>
        <v/>
      </c>
      <c r="O33" s="23">
        <f>IF(O32="H",$B$8*$B$17*$C$17/4,0)</f>
        <v/>
      </c>
      <c r="P33" s="23">
        <f>IF(P32="H",$B$8*$B$17*$C$17/4,0)</f>
        <v/>
      </c>
      <c r="Q33" s="23">
        <f>IF(Q32="H",$B$8*$B$17*$C$17/4,0)</f>
        <v/>
      </c>
      <c r="R33" s="23">
        <f>IF(R32="H",$B$8*$B$17*$C$17/4,0)</f>
        <v/>
      </c>
      <c r="S33" s="23">
        <f>IF(S32="H",$B$8*$B$17*$C$17/4,0)</f>
        <v/>
      </c>
      <c r="T33" s="23">
        <f>IF(T32="H",$B$8*$B$17*$C$17/4,0)</f>
        <v/>
      </c>
      <c r="U33" s="23">
        <f>IF(U32="H",$B$8*$B$17*$C$17/4,0)</f>
        <v/>
      </c>
      <c r="V33" s="23">
        <f>IF(V32="H",$B$8*$B$17*$C$17/4,0)</f>
        <v/>
      </c>
      <c r="W33" s="23">
        <f>IF(W32="H",$B$8*$B$17*$C$17/4,0)</f>
        <v/>
      </c>
      <c r="X33" s="23">
        <f>IF(X32="H",$B$8*$B$17*$C$17/4,0)</f>
        <v/>
      </c>
      <c r="Y33" s="23">
        <f>IF(Y32="H",$B$8*$B$17*$C$17/4,0)</f>
        <v/>
      </c>
      <c r="Z33" s="23">
        <f>IF(Z32="H",$B$8*$B$17*$C$17/4,0)</f>
        <v/>
      </c>
      <c r="AA33" s="23">
        <f>IF(AA32="H",$B$8*$B$17*$C$17/4,0)</f>
        <v/>
      </c>
      <c r="AB33" s="23">
        <f>IF(AB32="H",$B$8*$B$17*$C$17/4,0)</f>
        <v/>
      </c>
      <c r="AC33" s="23">
        <f>IF(AC32="H",$B$8*$B$17*$C$17/4,0)</f>
        <v/>
      </c>
      <c r="AD33" s="23">
        <f>IF(AD32="H",$B$8*$B$17*$C$17/4,0)</f>
        <v/>
      </c>
      <c r="AE33" s="23">
        <f>IF(AE32="H",$B$8*$B$17*$C$17/4,0)</f>
        <v/>
      </c>
      <c r="AF33" s="23">
        <f>IF(AF32="H",$B$8*$B$17*$C$17/4,0)</f>
        <v/>
      </c>
      <c r="AG33" s="23">
        <f>IF(AG32="H",$B$8*$B$17*$C$17/4,0)</f>
        <v/>
      </c>
      <c r="AH33" s="23">
        <f>IF(AH32="H",$B$8*$B$17*$C$17/4,0)</f>
        <v/>
      </c>
      <c r="AI33" s="23">
        <f>IF(AI32="H",$B$8*$B$17*$C$17/4,0)</f>
        <v/>
      </c>
      <c r="AJ33" s="23">
        <f>IF(AJ32="H",$B$8*$B$17*$C$17/4,0)</f>
        <v/>
      </c>
      <c r="AK33" s="23">
        <f>IF(AK32="H",$B$8*$B$17*$C$17/4,0)</f>
        <v/>
      </c>
      <c r="AL33" s="23">
        <f>IF(AL32="H",$B$8*$B$17*$C$17/4,0)</f>
        <v/>
      </c>
      <c r="AM33" s="23">
        <f>IF(AM32="H",$B$8*$B$17*$C$17/4,0)</f>
        <v/>
      </c>
      <c r="AN33" s="23">
        <f>IF(AN32="H",$B$8*$B$17*$C$17/4,0)</f>
        <v/>
      </c>
      <c r="AO33" s="23">
        <f>IF(AO32="H",$B$8*$B$17*$C$17/4,0)</f>
        <v/>
      </c>
      <c r="AP33" s="23">
        <f>IF(AP32="H",$B$8*$B$17*$C$17/4,0)</f>
        <v/>
      </c>
      <c r="AQ33" s="23">
        <f>IF(AQ32="H",$B$8*$B$17*$C$17/4,0)</f>
        <v/>
      </c>
      <c r="AR33" s="23">
        <f>IF(AR32="H",$B$8*$B$17*$C$17/4,0)</f>
        <v/>
      </c>
      <c r="AS33" s="23">
        <f>IF(AS32="H",$B$8*$B$17*$C$17/4,0)</f>
        <v/>
      </c>
      <c r="AT33" s="23">
        <f>IF(AT32="H",$B$8*$B$17*$C$17/4,0)</f>
        <v/>
      </c>
      <c r="AU33" s="23">
        <f>IF(AU32="H",$B$8*$B$17*$C$17/4,0)</f>
        <v/>
      </c>
      <c r="AV33" s="23">
        <f>IF(AV32="H",$B$8*$B$17*$C$17/4,0)</f>
        <v/>
      </c>
      <c r="AW33" s="23">
        <f>IF(AW32="H",$B$8*$B$17*$C$17/4,0)</f>
        <v/>
      </c>
      <c r="AX33" s="23">
        <f>IF(AX32="H",$B$8*$B$17*$C$17/4,0)</f>
        <v/>
      </c>
      <c r="AY33" s="23">
        <f>IF(AY32="H",$B$8*$B$17*$C$17/4,0)</f>
        <v/>
      </c>
      <c r="AZ33" s="23">
        <f>IF(AZ32="H",$B$8*$B$17*$C$17/4,0)</f>
        <v/>
      </c>
      <c r="BA33" s="23">
        <f>IF(BA32="H",$B$8*$B$17*$C$17/4,0)</f>
        <v/>
      </c>
      <c r="BB33" s="23">
        <f>IF(BB32="H",$B$8*$B$17*$C$17/4,0)</f>
        <v/>
      </c>
    </row>
    <row r="34">
      <c r="A34" s="21" t="inlineStr">
        <is>
          <t>Kale W32</t>
        </is>
      </c>
      <c r="B34" s="4" t="inlineStr">
        <is>
          <t>P/G/H</t>
        </is>
      </c>
      <c r="AH34" s="22" t="inlineStr">
        <is>
          <t>P</t>
        </is>
      </c>
      <c r="AI34" s="22" t="inlineStr">
        <is>
          <t>G</t>
        </is>
      </c>
      <c r="AJ34" s="22" t="inlineStr">
        <is>
          <t>G</t>
        </is>
      </c>
      <c r="AK34" s="22" t="inlineStr">
        <is>
          <t>G</t>
        </is>
      </c>
      <c r="AL34" s="22" t="inlineStr">
        <is>
          <t>G</t>
        </is>
      </c>
      <c r="AM34" s="22" t="inlineStr">
        <is>
          <t>G</t>
        </is>
      </c>
      <c r="AN34" s="22" t="inlineStr">
        <is>
          <t>G</t>
        </is>
      </c>
      <c r="AO34" s="22" t="inlineStr">
        <is>
          <t>G</t>
        </is>
      </c>
      <c r="AP34" s="22" t="inlineStr">
        <is>
          <t>G</t>
        </is>
      </c>
      <c r="AQ34" s="22" t="inlineStr">
        <is>
          <t>H</t>
        </is>
      </c>
      <c r="AR34" s="22" t="inlineStr">
        <is>
          <t>H</t>
        </is>
      </c>
      <c r="AS34" s="22" t="inlineStr">
        <is>
          <t>H</t>
        </is>
      </c>
      <c r="AT34" s="22" t="inlineStr">
        <is>
          <t>H</t>
        </is>
      </c>
    </row>
    <row r="35">
      <c r="A35" s="21" t="inlineStr">
        <is>
          <t xml:space="preserve">   lbs harvested (sellable)</t>
        </is>
      </c>
      <c r="B35" s="4" t="inlineStr">
        <is>
          <t>lb</t>
        </is>
      </c>
      <c r="C35" s="23">
        <f>IF(C34="H",$B$9*$B$17*$C$17/4,0)</f>
        <v/>
      </c>
      <c r="D35" s="23">
        <f>IF(D34="H",$B$9*$B$17*$C$17/4,0)</f>
        <v/>
      </c>
      <c r="E35" s="23">
        <f>IF(E34="H",$B$9*$B$17*$C$17/4,0)</f>
        <v/>
      </c>
      <c r="F35" s="23">
        <f>IF(F34="H",$B$9*$B$17*$C$17/4,0)</f>
        <v/>
      </c>
      <c r="G35" s="23">
        <f>IF(G34="H",$B$9*$B$17*$C$17/4,0)</f>
        <v/>
      </c>
      <c r="H35" s="23">
        <f>IF(H34="H",$B$9*$B$17*$C$17/4,0)</f>
        <v/>
      </c>
      <c r="I35" s="23">
        <f>IF(I34="H",$B$9*$B$17*$C$17/4,0)</f>
        <v/>
      </c>
      <c r="J35" s="23">
        <f>IF(J34="H",$B$9*$B$17*$C$17/4,0)</f>
        <v/>
      </c>
      <c r="K35" s="23">
        <f>IF(K34="H",$B$9*$B$17*$C$17/4,0)</f>
        <v/>
      </c>
      <c r="L35" s="23">
        <f>IF(L34="H",$B$9*$B$17*$C$17/4,0)</f>
        <v/>
      </c>
      <c r="M35" s="23">
        <f>IF(M34="H",$B$9*$B$17*$C$17/4,0)</f>
        <v/>
      </c>
      <c r="N35" s="23">
        <f>IF(N34="H",$B$9*$B$17*$C$17/4,0)</f>
        <v/>
      </c>
      <c r="O35" s="23">
        <f>IF(O34="H",$B$9*$B$17*$C$17/4,0)</f>
        <v/>
      </c>
      <c r="P35" s="23">
        <f>IF(P34="H",$B$9*$B$17*$C$17/4,0)</f>
        <v/>
      </c>
      <c r="Q35" s="23">
        <f>IF(Q34="H",$B$9*$B$17*$C$17/4,0)</f>
        <v/>
      </c>
      <c r="R35" s="23">
        <f>IF(R34="H",$B$9*$B$17*$C$17/4,0)</f>
        <v/>
      </c>
      <c r="S35" s="23">
        <f>IF(S34="H",$B$9*$B$17*$C$17/4,0)</f>
        <v/>
      </c>
      <c r="T35" s="23">
        <f>IF(T34="H",$B$9*$B$17*$C$17/4,0)</f>
        <v/>
      </c>
      <c r="U35" s="23">
        <f>IF(U34="H",$B$9*$B$17*$C$17/4,0)</f>
        <v/>
      </c>
      <c r="V35" s="23">
        <f>IF(V34="H",$B$9*$B$17*$C$17/4,0)</f>
        <v/>
      </c>
      <c r="W35" s="23">
        <f>IF(W34="H",$B$9*$B$17*$C$17/4,0)</f>
        <v/>
      </c>
      <c r="X35" s="23">
        <f>IF(X34="H",$B$9*$B$17*$C$17/4,0)</f>
        <v/>
      </c>
      <c r="Y35" s="23">
        <f>IF(Y34="H",$B$9*$B$17*$C$17/4,0)</f>
        <v/>
      </c>
      <c r="Z35" s="23">
        <f>IF(Z34="H",$B$9*$B$17*$C$17/4,0)</f>
        <v/>
      </c>
      <c r="AA35" s="23">
        <f>IF(AA34="H",$B$9*$B$17*$C$17/4,0)</f>
        <v/>
      </c>
      <c r="AB35" s="23">
        <f>IF(AB34="H",$B$9*$B$17*$C$17/4,0)</f>
        <v/>
      </c>
      <c r="AC35" s="23">
        <f>IF(AC34="H",$B$9*$B$17*$C$17/4,0)</f>
        <v/>
      </c>
      <c r="AD35" s="23">
        <f>IF(AD34="H",$B$9*$B$17*$C$17/4,0)</f>
        <v/>
      </c>
      <c r="AE35" s="23">
        <f>IF(AE34="H",$B$9*$B$17*$C$17/4,0)</f>
        <v/>
      </c>
      <c r="AF35" s="23">
        <f>IF(AF34="H",$B$9*$B$17*$C$17/4,0)</f>
        <v/>
      </c>
      <c r="AG35" s="23">
        <f>IF(AG34="H",$B$9*$B$17*$C$17/4,0)</f>
        <v/>
      </c>
      <c r="AH35" s="23">
        <f>IF(AH34="H",$B$9*$B$17*$C$17/4,0)</f>
        <v/>
      </c>
      <c r="AI35" s="23">
        <f>IF(AI34="H",$B$9*$B$17*$C$17/4,0)</f>
        <v/>
      </c>
      <c r="AJ35" s="23">
        <f>IF(AJ34="H",$B$9*$B$17*$C$17/4,0)</f>
        <v/>
      </c>
      <c r="AK35" s="23">
        <f>IF(AK34="H",$B$9*$B$17*$C$17/4,0)</f>
        <v/>
      </c>
      <c r="AL35" s="23">
        <f>IF(AL34="H",$B$9*$B$17*$C$17/4,0)</f>
        <v/>
      </c>
      <c r="AM35" s="23">
        <f>IF(AM34="H",$B$9*$B$17*$C$17/4,0)</f>
        <v/>
      </c>
      <c r="AN35" s="23">
        <f>IF(AN34="H",$B$9*$B$17*$C$17/4,0)</f>
        <v/>
      </c>
      <c r="AO35" s="23">
        <f>IF(AO34="H",$B$9*$B$17*$C$17/4,0)</f>
        <v/>
      </c>
      <c r="AP35" s="23">
        <f>IF(AP34="H",$B$9*$B$17*$C$17/4,0)</f>
        <v/>
      </c>
      <c r="AQ35" s="23">
        <f>IF(AQ34="H",$B$9*$B$17*$C$17/4,0)</f>
        <v/>
      </c>
      <c r="AR35" s="23">
        <f>IF(AR34="H",$B$9*$B$17*$C$17/4,0)</f>
        <v/>
      </c>
      <c r="AS35" s="23">
        <f>IF(AS34="H",$B$9*$B$17*$C$17/4,0)</f>
        <v/>
      </c>
      <c r="AT35" s="23">
        <f>IF(AT34="H",$B$9*$B$17*$C$17/4,0)</f>
        <v/>
      </c>
      <c r="AU35" s="23">
        <f>IF(AU34="H",$B$9*$B$17*$C$17/4,0)</f>
        <v/>
      </c>
      <c r="AV35" s="23">
        <f>IF(AV34="H",$B$9*$B$17*$C$17/4,0)</f>
        <v/>
      </c>
      <c r="AW35" s="23">
        <f>IF(AW34="H",$B$9*$B$17*$C$17/4,0)</f>
        <v/>
      </c>
      <c r="AX35" s="23">
        <f>IF(AX34="H",$B$9*$B$17*$C$17/4,0)</f>
        <v/>
      </c>
      <c r="AY35" s="23">
        <f>IF(AY34="H",$B$9*$B$17*$C$17/4,0)</f>
        <v/>
      </c>
      <c r="AZ35" s="23">
        <f>IF(AZ34="H",$B$9*$B$17*$C$17/4,0)</f>
        <v/>
      </c>
      <c r="BA35" s="23">
        <f>IF(BA34="H",$B$9*$B$17*$C$17/4,0)</f>
        <v/>
      </c>
      <c r="BB35" s="23">
        <f>IF(BB34="H",$B$9*$B$17*$C$17/4,0)</f>
        <v/>
      </c>
    </row>
    <row r="36">
      <c r="A36" s="21" t="inlineStr">
        <is>
          <t>Garlic W47</t>
        </is>
      </c>
      <c r="B36" s="4" t="inlineStr">
        <is>
          <t>P/G/H</t>
        </is>
      </c>
      <c r="C36" s="22" t="inlineStr">
        <is>
          <t>G</t>
        </is>
      </c>
      <c r="D36" s="22" t="inlineStr">
        <is>
          <t>G</t>
        </is>
      </c>
      <c r="E36" s="22" t="inlineStr">
        <is>
          <t>G</t>
        </is>
      </c>
      <c r="F36" s="22" t="inlineStr">
        <is>
          <t>G</t>
        </is>
      </c>
      <c r="G36" s="22" t="inlineStr">
        <is>
          <t>G</t>
        </is>
      </c>
      <c r="H36" s="22" t="inlineStr">
        <is>
          <t>G</t>
        </is>
      </c>
      <c r="I36" s="22" t="inlineStr">
        <is>
          <t>G</t>
        </is>
      </c>
      <c r="J36" s="22" t="inlineStr">
        <is>
          <t>G</t>
        </is>
      </c>
      <c r="K36" s="22" t="inlineStr">
        <is>
          <t>G</t>
        </is>
      </c>
      <c r="L36" s="22" t="inlineStr">
        <is>
          <t>G</t>
        </is>
      </c>
      <c r="M36" s="22" t="inlineStr">
        <is>
          <t>G</t>
        </is>
      </c>
      <c r="N36" s="22" t="inlineStr">
        <is>
          <t>G</t>
        </is>
      </c>
      <c r="O36" s="22" t="inlineStr">
        <is>
          <t>G</t>
        </is>
      </c>
      <c r="P36" s="22" t="inlineStr">
        <is>
          <t>G</t>
        </is>
      </c>
      <c r="Q36" s="22" t="inlineStr">
        <is>
          <t>G</t>
        </is>
      </c>
      <c r="R36" s="22" t="inlineStr">
        <is>
          <t>G</t>
        </is>
      </c>
      <c r="S36" s="22" t="inlineStr">
        <is>
          <t>G</t>
        </is>
      </c>
      <c r="T36" s="22" t="inlineStr">
        <is>
          <t>G</t>
        </is>
      </c>
      <c r="U36" s="22" t="inlineStr">
        <is>
          <t>G</t>
        </is>
      </c>
      <c r="V36" s="22" t="inlineStr">
        <is>
          <t>G</t>
        </is>
      </c>
      <c r="W36" s="22" t="inlineStr">
        <is>
          <t>G</t>
        </is>
      </c>
      <c r="X36" s="22" t="inlineStr">
        <is>
          <t>G</t>
        </is>
      </c>
      <c r="Y36" s="22" t="inlineStr">
        <is>
          <t>G</t>
        </is>
      </c>
      <c r="Z36" s="22" t="inlineStr">
        <is>
          <t>G</t>
        </is>
      </c>
      <c r="AA36" s="22" t="inlineStr">
        <is>
          <t>G</t>
        </is>
      </c>
      <c r="AB36" s="22" t="inlineStr">
        <is>
          <t>G</t>
        </is>
      </c>
      <c r="AC36" s="22" t="inlineStr">
        <is>
          <t>G</t>
        </is>
      </c>
      <c r="AD36" s="22" t="inlineStr">
        <is>
          <t>G</t>
        </is>
      </c>
      <c r="AE36" s="22" t="inlineStr">
        <is>
          <t>G</t>
        </is>
      </c>
      <c r="AF36" s="22" t="inlineStr">
        <is>
          <t>H</t>
        </is>
      </c>
      <c r="AW36" s="22" t="inlineStr">
        <is>
          <t>P</t>
        </is>
      </c>
      <c r="AX36" s="22" t="inlineStr">
        <is>
          <t>P</t>
        </is>
      </c>
      <c r="AY36" s="22" t="inlineStr">
        <is>
          <t>P</t>
        </is>
      </c>
      <c r="AZ36" s="22" t="inlineStr">
        <is>
          <t>G</t>
        </is>
      </c>
      <c r="BA36" s="22" t="inlineStr">
        <is>
          <t>G</t>
        </is>
      </c>
      <c r="BB36" s="22" t="inlineStr">
        <is>
          <t>G</t>
        </is>
      </c>
    </row>
    <row r="37">
      <c r="A37" s="21" t="inlineStr">
        <is>
          <t xml:space="preserve">   lbs harvested (sellable)</t>
        </is>
      </c>
      <c r="B37" s="4" t="inlineStr">
        <is>
          <t>lb</t>
        </is>
      </c>
      <c r="C37" s="23">
        <f>IF(C36="H",$B$10*$B$18*$C$18/1,0)</f>
        <v/>
      </c>
      <c r="D37" s="23">
        <f>IF(D36="H",$B$10*$B$18*$C$18/1,0)</f>
        <v/>
      </c>
      <c r="E37" s="23">
        <f>IF(E36="H",$B$10*$B$18*$C$18/1,0)</f>
        <v/>
      </c>
      <c r="F37" s="23">
        <f>IF(F36="H",$B$10*$B$18*$C$18/1,0)</f>
        <v/>
      </c>
      <c r="G37" s="23">
        <f>IF(G36="H",$B$10*$B$18*$C$18/1,0)</f>
        <v/>
      </c>
      <c r="H37" s="23">
        <f>IF(H36="H",$B$10*$B$18*$C$18/1,0)</f>
        <v/>
      </c>
      <c r="I37" s="23">
        <f>IF(I36="H",$B$10*$B$18*$C$18/1,0)</f>
        <v/>
      </c>
      <c r="J37" s="23">
        <f>IF(J36="H",$B$10*$B$18*$C$18/1,0)</f>
        <v/>
      </c>
      <c r="K37" s="23">
        <f>IF(K36="H",$B$10*$B$18*$C$18/1,0)</f>
        <v/>
      </c>
      <c r="L37" s="23">
        <f>IF(L36="H",$B$10*$B$18*$C$18/1,0)</f>
        <v/>
      </c>
      <c r="M37" s="23">
        <f>IF(M36="H",$B$10*$B$18*$C$18/1,0)</f>
        <v/>
      </c>
      <c r="N37" s="23">
        <f>IF(N36="H",$B$10*$B$18*$C$18/1,0)</f>
        <v/>
      </c>
      <c r="O37" s="23">
        <f>IF(O36="H",$B$10*$B$18*$C$18/1,0)</f>
        <v/>
      </c>
      <c r="P37" s="23">
        <f>IF(P36="H",$B$10*$B$18*$C$18/1,0)</f>
        <v/>
      </c>
      <c r="Q37" s="23">
        <f>IF(Q36="H",$B$10*$B$18*$C$18/1,0)</f>
        <v/>
      </c>
      <c r="R37" s="23">
        <f>IF(R36="H",$B$10*$B$18*$C$18/1,0)</f>
        <v/>
      </c>
      <c r="S37" s="23">
        <f>IF(S36="H",$B$10*$B$18*$C$18/1,0)</f>
        <v/>
      </c>
      <c r="T37" s="23">
        <f>IF(T36="H",$B$10*$B$18*$C$18/1,0)</f>
        <v/>
      </c>
      <c r="U37" s="23">
        <f>IF(U36="H",$B$10*$B$18*$C$18/1,0)</f>
        <v/>
      </c>
      <c r="V37" s="23">
        <f>IF(V36="H",$B$10*$B$18*$C$18/1,0)</f>
        <v/>
      </c>
      <c r="W37" s="23">
        <f>IF(W36="H",$B$10*$B$18*$C$18/1,0)</f>
        <v/>
      </c>
      <c r="X37" s="23">
        <f>IF(X36="H",$B$10*$B$18*$C$18/1,0)</f>
        <v/>
      </c>
      <c r="Y37" s="23">
        <f>IF(Y36="H",$B$10*$B$18*$C$18/1,0)</f>
        <v/>
      </c>
      <c r="Z37" s="23">
        <f>IF(Z36="H",$B$10*$B$18*$C$18/1,0)</f>
        <v/>
      </c>
      <c r="AA37" s="23">
        <f>IF(AA36="H",$B$10*$B$18*$C$18/1,0)</f>
        <v/>
      </c>
      <c r="AB37" s="23">
        <f>IF(AB36="H",$B$10*$B$18*$C$18/1,0)</f>
        <v/>
      </c>
      <c r="AC37" s="23">
        <f>IF(AC36="H",$B$10*$B$18*$C$18/1,0)</f>
        <v/>
      </c>
      <c r="AD37" s="23">
        <f>IF(AD36="H",$B$10*$B$18*$C$18/1,0)</f>
        <v/>
      </c>
      <c r="AE37" s="23">
        <f>IF(AE36="H",$B$10*$B$18*$C$18/1,0)</f>
        <v/>
      </c>
      <c r="AF37" s="23">
        <f>IF(AF36="H",$B$10*$B$18*$C$18/1,0)</f>
        <v/>
      </c>
      <c r="AG37" s="23">
        <f>IF(AG36="H",$B$10*$B$18*$C$18/1,0)</f>
        <v/>
      </c>
      <c r="AH37" s="23">
        <f>IF(AH36="H",$B$10*$B$18*$C$18/1,0)</f>
        <v/>
      </c>
      <c r="AI37" s="23">
        <f>IF(AI36="H",$B$10*$B$18*$C$18/1,0)</f>
        <v/>
      </c>
      <c r="AJ37" s="23">
        <f>IF(AJ36="H",$B$10*$B$18*$C$18/1,0)</f>
        <v/>
      </c>
      <c r="AK37" s="23">
        <f>IF(AK36="H",$B$10*$B$18*$C$18/1,0)</f>
        <v/>
      </c>
      <c r="AL37" s="23">
        <f>IF(AL36="H",$B$10*$B$18*$C$18/1,0)</f>
        <v/>
      </c>
      <c r="AM37" s="23">
        <f>IF(AM36="H",$B$10*$B$18*$C$18/1,0)</f>
        <v/>
      </c>
      <c r="AN37" s="23">
        <f>IF(AN36="H",$B$10*$B$18*$C$18/1,0)</f>
        <v/>
      </c>
      <c r="AO37" s="23">
        <f>IF(AO36="H",$B$10*$B$18*$C$18/1,0)</f>
        <v/>
      </c>
      <c r="AP37" s="23">
        <f>IF(AP36="H",$B$10*$B$18*$C$18/1,0)</f>
        <v/>
      </c>
      <c r="AQ37" s="23">
        <f>IF(AQ36="H",$B$10*$B$18*$C$18/1,0)</f>
        <v/>
      </c>
      <c r="AR37" s="23">
        <f>IF(AR36="H",$B$10*$B$18*$C$18/1,0)</f>
        <v/>
      </c>
      <c r="AS37" s="23">
        <f>IF(AS36="H",$B$10*$B$18*$C$18/1,0)</f>
        <v/>
      </c>
      <c r="AT37" s="23">
        <f>IF(AT36="H",$B$10*$B$18*$C$18/1,0)</f>
        <v/>
      </c>
      <c r="AU37" s="23">
        <f>IF(AU36="H",$B$10*$B$18*$C$18/1,0)</f>
        <v/>
      </c>
      <c r="AV37" s="23">
        <f>IF(AV36="H",$B$10*$B$18*$C$18/1,0)</f>
        <v/>
      </c>
      <c r="AW37" s="23">
        <f>IF(AW36="H",$B$10*$B$18*$C$18/1,0)</f>
        <v/>
      </c>
      <c r="AX37" s="23">
        <f>IF(AX36="H",$B$10*$B$18*$C$18/1,0)</f>
        <v/>
      </c>
      <c r="AY37" s="23">
        <f>IF(AY36="H",$B$10*$B$18*$C$18/1,0)</f>
        <v/>
      </c>
      <c r="AZ37" s="23">
        <f>IF(AZ36="H",$B$10*$B$18*$C$18/1,0)</f>
        <v/>
      </c>
      <c r="BA37" s="23">
        <f>IF(BA36="H",$B$10*$B$18*$C$18/1,0)</f>
        <v/>
      </c>
      <c r="BB37" s="23">
        <f>IF(BB36="H",$B$10*$B$18*$C$18/1,0)</f>
        <v/>
      </c>
    </row>
    <row r="38">
      <c r="A38" s="4" t="inlineStr">
        <is>
          <t>P = planting   G = growing   H = harvesting.  Only sellable pounds are shown (yield x sell-through).</t>
        </is>
      </c>
    </row>
    <row r="40">
      <c r="A40" s="18" t="inlineStr">
        <is>
          <t>Week</t>
        </is>
      </c>
      <c r="B40" s="19" t="inlineStr">
        <is>
          <t>acres</t>
        </is>
      </c>
      <c r="C40" s="20" t="n">
        <v>1</v>
      </c>
      <c r="D40" s="20" t="n">
        <v>2</v>
      </c>
      <c r="E40" s="20" t="n">
        <v>3</v>
      </c>
      <c r="F40" s="20" t="n">
        <v>4</v>
      </c>
      <c r="G40" s="20" t="n">
        <v>5</v>
      </c>
      <c r="H40" s="20" t="n">
        <v>6</v>
      </c>
      <c r="I40" s="20" t="n">
        <v>7</v>
      </c>
      <c r="J40" s="20" t="n">
        <v>8</v>
      </c>
      <c r="K40" s="20" t="n">
        <v>9</v>
      </c>
      <c r="L40" s="20" t="n">
        <v>10</v>
      </c>
      <c r="M40" s="20" t="n">
        <v>11</v>
      </c>
      <c r="N40" s="20" t="n">
        <v>12</v>
      </c>
      <c r="O40" s="20" t="n">
        <v>13</v>
      </c>
      <c r="P40" s="20" t="n">
        <v>14</v>
      </c>
      <c r="Q40" s="20" t="n">
        <v>15</v>
      </c>
      <c r="R40" s="20" t="n">
        <v>16</v>
      </c>
      <c r="S40" s="20" t="n">
        <v>17</v>
      </c>
      <c r="T40" s="20" t="n">
        <v>18</v>
      </c>
      <c r="U40" s="20" t="n">
        <v>19</v>
      </c>
      <c r="V40" s="20" t="n">
        <v>20</v>
      </c>
      <c r="W40" s="20" t="n">
        <v>21</v>
      </c>
      <c r="X40" s="20" t="n">
        <v>22</v>
      </c>
      <c r="Y40" s="20" t="n">
        <v>23</v>
      </c>
      <c r="Z40" s="20" t="n">
        <v>24</v>
      </c>
      <c r="AA40" s="20" t="n">
        <v>25</v>
      </c>
      <c r="AB40" s="20" t="n">
        <v>26</v>
      </c>
      <c r="AC40" s="20" t="n">
        <v>27</v>
      </c>
      <c r="AD40" s="20" t="n">
        <v>28</v>
      </c>
      <c r="AE40" s="20" t="n">
        <v>29</v>
      </c>
      <c r="AF40" s="20" t="n">
        <v>30</v>
      </c>
      <c r="AG40" s="20" t="n">
        <v>31</v>
      </c>
      <c r="AH40" s="20" t="n">
        <v>32</v>
      </c>
      <c r="AI40" s="20" t="n">
        <v>33</v>
      </c>
      <c r="AJ40" s="20" t="n">
        <v>34</v>
      </c>
      <c r="AK40" s="20" t="n">
        <v>35</v>
      </c>
      <c r="AL40" s="20" t="n">
        <v>36</v>
      </c>
      <c r="AM40" s="20" t="n">
        <v>37</v>
      </c>
      <c r="AN40" s="20" t="n">
        <v>38</v>
      </c>
      <c r="AO40" s="20" t="n">
        <v>39</v>
      </c>
      <c r="AP40" s="20" t="n">
        <v>40</v>
      </c>
      <c r="AQ40" s="20" t="n">
        <v>41</v>
      </c>
      <c r="AR40" s="20" t="n">
        <v>42</v>
      </c>
      <c r="AS40" s="20" t="n">
        <v>43</v>
      </c>
      <c r="AT40" s="20" t="n">
        <v>44</v>
      </c>
      <c r="AU40" s="20" t="n">
        <v>45</v>
      </c>
      <c r="AV40" s="20" t="n">
        <v>46</v>
      </c>
      <c r="AW40" s="20" t="n">
        <v>47</v>
      </c>
      <c r="AX40" s="20" t="n">
        <v>48</v>
      </c>
      <c r="AY40" s="20" t="n">
        <v>49</v>
      </c>
      <c r="AZ40" s="20" t="n">
        <v>50</v>
      </c>
      <c r="BA40" s="20" t="n">
        <v>51</v>
      </c>
      <c r="BB40" s="20" t="n">
        <v>52</v>
      </c>
    </row>
    <row r="41">
      <c r="A41" s="3" t="inlineStr">
        <is>
          <t>LAND in the ground</t>
        </is>
      </c>
      <c r="B41" s="4" t="inlineStr">
        <is>
          <t>used</t>
        </is>
      </c>
      <c r="C41" s="24">
        <f>IF(C28&lt;&gt;"",$B$6,0)+IF(C30&lt;&gt;"",$B$7,0)+IF(C32&lt;&gt;"",$B$8,0)+IF(C34&lt;&gt;"",$B$9,0)+IF(C36&lt;&gt;"",$B$10,0)</f>
        <v/>
      </c>
      <c r="D41" s="24">
        <f>IF(D28&lt;&gt;"",$B$6,0)+IF(D30&lt;&gt;"",$B$7,0)+IF(D32&lt;&gt;"",$B$8,0)+IF(D34&lt;&gt;"",$B$9,0)+IF(D36&lt;&gt;"",$B$10,0)</f>
        <v/>
      </c>
      <c r="E41" s="24">
        <f>IF(E28&lt;&gt;"",$B$6,0)+IF(E30&lt;&gt;"",$B$7,0)+IF(E32&lt;&gt;"",$B$8,0)+IF(E34&lt;&gt;"",$B$9,0)+IF(E36&lt;&gt;"",$B$10,0)</f>
        <v/>
      </c>
      <c r="F41" s="24">
        <f>IF(F28&lt;&gt;"",$B$6,0)+IF(F30&lt;&gt;"",$B$7,0)+IF(F32&lt;&gt;"",$B$8,0)+IF(F34&lt;&gt;"",$B$9,0)+IF(F36&lt;&gt;"",$B$10,0)</f>
        <v/>
      </c>
      <c r="G41" s="24">
        <f>IF(G28&lt;&gt;"",$B$6,0)+IF(G30&lt;&gt;"",$B$7,0)+IF(G32&lt;&gt;"",$B$8,0)+IF(G34&lt;&gt;"",$B$9,0)+IF(G36&lt;&gt;"",$B$10,0)</f>
        <v/>
      </c>
      <c r="H41" s="24">
        <f>IF(H28&lt;&gt;"",$B$6,0)+IF(H30&lt;&gt;"",$B$7,0)+IF(H32&lt;&gt;"",$B$8,0)+IF(H34&lt;&gt;"",$B$9,0)+IF(H36&lt;&gt;"",$B$10,0)</f>
        <v/>
      </c>
      <c r="I41" s="24">
        <f>IF(I28&lt;&gt;"",$B$6,0)+IF(I30&lt;&gt;"",$B$7,0)+IF(I32&lt;&gt;"",$B$8,0)+IF(I34&lt;&gt;"",$B$9,0)+IF(I36&lt;&gt;"",$B$10,0)</f>
        <v/>
      </c>
      <c r="J41" s="24">
        <f>IF(J28&lt;&gt;"",$B$6,0)+IF(J30&lt;&gt;"",$B$7,0)+IF(J32&lt;&gt;"",$B$8,0)+IF(J34&lt;&gt;"",$B$9,0)+IF(J36&lt;&gt;"",$B$10,0)</f>
        <v/>
      </c>
      <c r="K41" s="24">
        <f>IF(K28&lt;&gt;"",$B$6,0)+IF(K30&lt;&gt;"",$B$7,0)+IF(K32&lt;&gt;"",$B$8,0)+IF(K34&lt;&gt;"",$B$9,0)+IF(K36&lt;&gt;"",$B$10,0)</f>
        <v/>
      </c>
      <c r="L41" s="24">
        <f>IF(L28&lt;&gt;"",$B$6,0)+IF(L30&lt;&gt;"",$B$7,0)+IF(L32&lt;&gt;"",$B$8,0)+IF(L34&lt;&gt;"",$B$9,0)+IF(L36&lt;&gt;"",$B$10,0)</f>
        <v/>
      </c>
      <c r="M41" s="24">
        <f>IF(M28&lt;&gt;"",$B$6,0)+IF(M30&lt;&gt;"",$B$7,0)+IF(M32&lt;&gt;"",$B$8,0)+IF(M34&lt;&gt;"",$B$9,0)+IF(M36&lt;&gt;"",$B$10,0)</f>
        <v/>
      </c>
      <c r="N41" s="24">
        <f>IF(N28&lt;&gt;"",$B$6,0)+IF(N30&lt;&gt;"",$B$7,0)+IF(N32&lt;&gt;"",$B$8,0)+IF(N34&lt;&gt;"",$B$9,0)+IF(N36&lt;&gt;"",$B$10,0)</f>
        <v/>
      </c>
      <c r="O41" s="24">
        <f>IF(O28&lt;&gt;"",$B$6,0)+IF(O30&lt;&gt;"",$B$7,0)+IF(O32&lt;&gt;"",$B$8,0)+IF(O34&lt;&gt;"",$B$9,0)+IF(O36&lt;&gt;"",$B$10,0)</f>
        <v/>
      </c>
      <c r="P41" s="24">
        <f>IF(P28&lt;&gt;"",$B$6,0)+IF(P30&lt;&gt;"",$B$7,0)+IF(P32&lt;&gt;"",$B$8,0)+IF(P34&lt;&gt;"",$B$9,0)+IF(P36&lt;&gt;"",$B$10,0)</f>
        <v/>
      </c>
      <c r="Q41" s="24">
        <f>IF(Q28&lt;&gt;"",$B$6,0)+IF(Q30&lt;&gt;"",$B$7,0)+IF(Q32&lt;&gt;"",$B$8,0)+IF(Q34&lt;&gt;"",$B$9,0)+IF(Q36&lt;&gt;"",$B$10,0)</f>
        <v/>
      </c>
      <c r="R41" s="24">
        <f>IF(R28&lt;&gt;"",$B$6,0)+IF(R30&lt;&gt;"",$B$7,0)+IF(R32&lt;&gt;"",$B$8,0)+IF(R34&lt;&gt;"",$B$9,0)+IF(R36&lt;&gt;"",$B$10,0)</f>
        <v/>
      </c>
      <c r="S41" s="24">
        <f>IF(S28&lt;&gt;"",$B$6,0)+IF(S30&lt;&gt;"",$B$7,0)+IF(S32&lt;&gt;"",$B$8,0)+IF(S34&lt;&gt;"",$B$9,0)+IF(S36&lt;&gt;"",$B$10,0)</f>
        <v/>
      </c>
      <c r="T41" s="24">
        <f>IF(T28&lt;&gt;"",$B$6,0)+IF(T30&lt;&gt;"",$B$7,0)+IF(T32&lt;&gt;"",$B$8,0)+IF(T34&lt;&gt;"",$B$9,0)+IF(T36&lt;&gt;"",$B$10,0)</f>
        <v/>
      </c>
      <c r="U41" s="24">
        <f>IF(U28&lt;&gt;"",$B$6,0)+IF(U30&lt;&gt;"",$B$7,0)+IF(U32&lt;&gt;"",$B$8,0)+IF(U34&lt;&gt;"",$B$9,0)+IF(U36&lt;&gt;"",$B$10,0)</f>
        <v/>
      </c>
      <c r="V41" s="24">
        <f>IF(V28&lt;&gt;"",$B$6,0)+IF(V30&lt;&gt;"",$B$7,0)+IF(V32&lt;&gt;"",$B$8,0)+IF(V34&lt;&gt;"",$B$9,0)+IF(V36&lt;&gt;"",$B$10,0)</f>
        <v/>
      </c>
      <c r="W41" s="24">
        <f>IF(W28&lt;&gt;"",$B$6,0)+IF(W30&lt;&gt;"",$B$7,0)+IF(W32&lt;&gt;"",$B$8,0)+IF(W34&lt;&gt;"",$B$9,0)+IF(W36&lt;&gt;"",$B$10,0)</f>
        <v/>
      </c>
      <c r="X41" s="24">
        <f>IF(X28&lt;&gt;"",$B$6,0)+IF(X30&lt;&gt;"",$B$7,0)+IF(X32&lt;&gt;"",$B$8,0)+IF(X34&lt;&gt;"",$B$9,0)+IF(X36&lt;&gt;"",$B$10,0)</f>
        <v/>
      </c>
      <c r="Y41" s="24">
        <f>IF(Y28&lt;&gt;"",$B$6,0)+IF(Y30&lt;&gt;"",$B$7,0)+IF(Y32&lt;&gt;"",$B$8,0)+IF(Y34&lt;&gt;"",$B$9,0)+IF(Y36&lt;&gt;"",$B$10,0)</f>
        <v/>
      </c>
      <c r="Z41" s="24">
        <f>IF(Z28&lt;&gt;"",$B$6,0)+IF(Z30&lt;&gt;"",$B$7,0)+IF(Z32&lt;&gt;"",$B$8,0)+IF(Z34&lt;&gt;"",$B$9,0)+IF(Z36&lt;&gt;"",$B$10,0)</f>
        <v/>
      </c>
      <c r="AA41" s="24">
        <f>IF(AA28&lt;&gt;"",$B$6,0)+IF(AA30&lt;&gt;"",$B$7,0)+IF(AA32&lt;&gt;"",$B$8,0)+IF(AA34&lt;&gt;"",$B$9,0)+IF(AA36&lt;&gt;"",$B$10,0)</f>
        <v/>
      </c>
      <c r="AB41" s="24">
        <f>IF(AB28&lt;&gt;"",$B$6,0)+IF(AB30&lt;&gt;"",$B$7,0)+IF(AB32&lt;&gt;"",$B$8,0)+IF(AB34&lt;&gt;"",$B$9,0)+IF(AB36&lt;&gt;"",$B$10,0)</f>
        <v/>
      </c>
      <c r="AC41" s="24">
        <f>IF(AC28&lt;&gt;"",$B$6,0)+IF(AC30&lt;&gt;"",$B$7,0)+IF(AC32&lt;&gt;"",$B$8,0)+IF(AC34&lt;&gt;"",$B$9,0)+IF(AC36&lt;&gt;"",$B$10,0)</f>
        <v/>
      </c>
      <c r="AD41" s="24">
        <f>IF(AD28&lt;&gt;"",$B$6,0)+IF(AD30&lt;&gt;"",$B$7,0)+IF(AD32&lt;&gt;"",$B$8,0)+IF(AD34&lt;&gt;"",$B$9,0)+IF(AD36&lt;&gt;"",$B$10,0)</f>
        <v/>
      </c>
      <c r="AE41" s="24">
        <f>IF(AE28&lt;&gt;"",$B$6,0)+IF(AE30&lt;&gt;"",$B$7,0)+IF(AE32&lt;&gt;"",$B$8,0)+IF(AE34&lt;&gt;"",$B$9,0)+IF(AE36&lt;&gt;"",$B$10,0)</f>
        <v/>
      </c>
      <c r="AF41" s="24">
        <f>IF(AF28&lt;&gt;"",$B$6,0)+IF(AF30&lt;&gt;"",$B$7,0)+IF(AF32&lt;&gt;"",$B$8,0)+IF(AF34&lt;&gt;"",$B$9,0)+IF(AF36&lt;&gt;"",$B$10,0)</f>
        <v/>
      </c>
      <c r="AG41" s="24">
        <f>IF(AG28&lt;&gt;"",$B$6,0)+IF(AG30&lt;&gt;"",$B$7,0)+IF(AG32&lt;&gt;"",$B$8,0)+IF(AG34&lt;&gt;"",$B$9,0)+IF(AG36&lt;&gt;"",$B$10,0)</f>
        <v/>
      </c>
      <c r="AH41" s="24">
        <f>IF(AH28&lt;&gt;"",$B$6,0)+IF(AH30&lt;&gt;"",$B$7,0)+IF(AH32&lt;&gt;"",$B$8,0)+IF(AH34&lt;&gt;"",$B$9,0)+IF(AH36&lt;&gt;"",$B$10,0)</f>
        <v/>
      </c>
      <c r="AI41" s="24">
        <f>IF(AI28&lt;&gt;"",$B$6,0)+IF(AI30&lt;&gt;"",$B$7,0)+IF(AI32&lt;&gt;"",$B$8,0)+IF(AI34&lt;&gt;"",$B$9,0)+IF(AI36&lt;&gt;"",$B$10,0)</f>
        <v/>
      </c>
      <c r="AJ41" s="24">
        <f>IF(AJ28&lt;&gt;"",$B$6,0)+IF(AJ30&lt;&gt;"",$B$7,0)+IF(AJ32&lt;&gt;"",$B$8,0)+IF(AJ34&lt;&gt;"",$B$9,0)+IF(AJ36&lt;&gt;"",$B$10,0)</f>
        <v/>
      </c>
      <c r="AK41" s="24">
        <f>IF(AK28&lt;&gt;"",$B$6,0)+IF(AK30&lt;&gt;"",$B$7,0)+IF(AK32&lt;&gt;"",$B$8,0)+IF(AK34&lt;&gt;"",$B$9,0)+IF(AK36&lt;&gt;"",$B$10,0)</f>
        <v/>
      </c>
      <c r="AL41" s="24">
        <f>IF(AL28&lt;&gt;"",$B$6,0)+IF(AL30&lt;&gt;"",$B$7,0)+IF(AL32&lt;&gt;"",$B$8,0)+IF(AL34&lt;&gt;"",$B$9,0)+IF(AL36&lt;&gt;"",$B$10,0)</f>
        <v/>
      </c>
      <c r="AM41" s="24">
        <f>IF(AM28&lt;&gt;"",$B$6,0)+IF(AM30&lt;&gt;"",$B$7,0)+IF(AM32&lt;&gt;"",$B$8,0)+IF(AM34&lt;&gt;"",$B$9,0)+IF(AM36&lt;&gt;"",$B$10,0)</f>
        <v/>
      </c>
      <c r="AN41" s="24">
        <f>IF(AN28&lt;&gt;"",$B$6,0)+IF(AN30&lt;&gt;"",$B$7,0)+IF(AN32&lt;&gt;"",$B$8,0)+IF(AN34&lt;&gt;"",$B$9,0)+IF(AN36&lt;&gt;"",$B$10,0)</f>
        <v/>
      </c>
      <c r="AO41" s="24">
        <f>IF(AO28&lt;&gt;"",$B$6,0)+IF(AO30&lt;&gt;"",$B$7,0)+IF(AO32&lt;&gt;"",$B$8,0)+IF(AO34&lt;&gt;"",$B$9,0)+IF(AO36&lt;&gt;"",$B$10,0)</f>
        <v/>
      </c>
      <c r="AP41" s="24">
        <f>IF(AP28&lt;&gt;"",$B$6,0)+IF(AP30&lt;&gt;"",$B$7,0)+IF(AP32&lt;&gt;"",$B$8,0)+IF(AP34&lt;&gt;"",$B$9,0)+IF(AP36&lt;&gt;"",$B$10,0)</f>
        <v/>
      </c>
      <c r="AQ41" s="24">
        <f>IF(AQ28&lt;&gt;"",$B$6,0)+IF(AQ30&lt;&gt;"",$B$7,0)+IF(AQ32&lt;&gt;"",$B$8,0)+IF(AQ34&lt;&gt;"",$B$9,0)+IF(AQ36&lt;&gt;"",$B$10,0)</f>
        <v/>
      </c>
      <c r="AR41" s="24">
        <f>IF(AR28&lt;&gt;"",$B$6,0)+IF(AR30&lt;&gt;"",$B$7,0)+IF(AR32&lt;&gt;"",$B$8,0)+IF(AR34&lt;&gt;"",$B$9,0)+IF(AR36&lt;&gt;"",$B$10,0)</f>
        <v/>
      </c>
      <c r="AS41" s="24">
        <f>IF(AS28&lt;&gt;"",$B$6,0)+IF(AS30&lt;&gt;"",$B$7,0)+IF(AS32&lt;&gt;"",$B$8,0)+IF(AS34&lt;&gt;"",$B$9,0)+IF(AS36&lt;&gt;"",$B$10,0)</f>
        <v/>
      </c>
      <c r="AT41" s="24">
        <f>IF(AT28&lt;&gt;"",$B$6,0)+IF(AT30&lt;&gt;"",$B$7,0)+IF(AT32&lt;&gt;"",$B$8,0)+IF(AT34&lt;&gt;"",$B$9,0)+IF(AT36&lt;&gt;"",$B$10,0)</f>
        <v/>
      </c>
      <c r="AU41" s="24">
        <f>IF(AU28&lt;&gt;"",$B$6,0)+IF(AU30&lt;&gt;"",$B$7,0)+IF(AU32&lt;&gt;"",$B$8,0)+IF(AU34&lt;&gt;"",$B$9,0)+IF(AU36&lt;&gt;"",$B$10,0)</f>
        <v/>
      </c>
      <c r="AV41" s="24">
        <f>IF(AV28&lt;&gt;"",$B$6,0)+IF(AV30&lt;&gt;"",$B$7,0)+IF(AV32&lt;&gt;"",$B$8,0)+IF(AV34&lt;&gt;"",$B$9,0)+IF(AV36&lt;&gt;"",$B$10,0)</f>
        <v/>
      </c>
      <c r="AW41" s="24">
        <f>IF(AW28&lt;&gt;"",$B$6,0)+IF(AW30&lt;&gt;"",$B$7,0)+IF(AW32&lt;&gt;"",$B$8,0)+IF(AW34&lt;&gt;"",$B$9,0)+IF(AW36&lt;&gt;"",$B$10,0)</f>
        <v/>
      </c>
      <c r="AX41" s="24">
        <f>IF(AX28&lt;&gt;"",$B$6,0)+IF(AX30&lt;&gt;"",$B$7,0)+IF(AX32&lt;&gt;"",$B$8,0)+IF(AX34&lt;&gt;"",$B$9,0)+IF(AX36&lt;&gt;"",$B$10,0)</f>
        <v/>
      </c>
      <c r="AY41" s="24">
        <f>IF(AY28&lt;&gt;"",$B$6,0)+IF(AY30&lt;&gt;"",$B$7,0)+IF(AY32&lt;&gt;"",$B$8,0)+IF(AY34&lt;&gt;"",$B$9,0)+IF(AY36&lt;&gt;"",$B$10,0)</f>
        <v/>
      </c>
      <c r="AZ41" s="24">
        <f>IF(AZ28&lt;&gt;"",$B$6,0)+IF(AZ30&lt;&gt;"",$B$7,0)+IF(AZ32&lt;&gt;"",$B$8,0)+IF(AZ34&lt;&gt;"",$B$9,0)+IF(AZ36&lt;&gt;"",$B$10,0)</f>
        <v/>
      </c>
      <c r="BA41" s="24">
        <f>IF(BA28&lt;&gt;"",$B$6,0)+IF(BA30&lt;&gt;"",$B$7,0)+IF(BA32&lt;&gt;"",$B$8,0)+IF(BA34&lt;&gt;"",$B$9,0)+IF(BA36&lt;&gt;"",$B$10,0)</f>
        <v/>
      </c>
      <c r="BB41" s="24">
        <f>IF(BB28&lt;&gt;"",$B$6,0)+IF(BB30&lt;&gt;"",$B$7,0)+IF(BB32&lt;&gt;"",$B$8,0)+IF(BB34&lt;&gt;"",$B$9,0)+IF(BB36&lt;&gt;"",$B$10,0)</f>
        <v/>
      </c>
    </row>
    <row r="42">
      <c r="A42" s="3" t="inlineStr"/>
      <c r="B42" s="4" t="inlineStr"/>
      <c r="C42" s="25" t="inlineStr">
        <is>
          <t>&lt;=</t>
        </is>
      </c>
      <c r="D42" s="25" t="inlineStr">
        <is>
          <t>&lt;=</t>
        </is>
      </c>
      <c r="E42" s="25" t="inlineStr">
        <is>
          <t>&lt;=</t>
        </is>
      </c>
      <c r="F42" s="25" t="inlineStr">
        <is>
          <t>&lt;=</t>
        </is>
      </c>
      <c r="G42" s="25" t="inlineStr">
        <is>
          <t>&lt;=</t>
        </is>
      </c>
      <c r="H42" s="25" t="inlineStr">
        <is>
          <t>&lt;=</t>
        </is>
      </c>
      <c r="I42" s="25" t="inlineStr">
        <is>
          <t>&lt;=</t>
        </is>
      </c>
      <c r="J42" s="25" t="inlineStr">
        <is>
          <t>&lt;=</t>
        </is>
      </c>
      <c r="K42" s="25" t="inlineStr">
        <is>
          <t>&lt;=</t>
        </is>
      </c>
      <c r="L42" s="25" t="inlineStr">
        <is>
          <t>&lt;=</t>
        </is>
      </c>
      <c r="M42" s="25" t="inlineStr">
        <is>
          <t>&lt;=</t>
        </is>
      </c>
      <c r="N42" s="25" t="inlineStr">
        <is>
          <t>&lt;=</t>
        </is>
      </c>
      <c r="O42" s="25" t="inlineStr">
        <is>
          <t>&lt;=</t>
        </is>
      </c>
      <c r="P42" s="25" t="inlineStr">
        <is>
          <t>&lt;=</t>
        </is>
      </c>
      <c r="Q42" s="25" t="inlineStr">
        <is>
          <t>&lt;=</t>
        </is>
      </c>
      <c r="R42" s="25" t="inlineStr">
        <is>
          <t>&lt;=</t>
        </is>
      </c>
      <c r="S42" s="25" t="inlineStr">
        <is>
          <t>&lt;=</t>
        </is>
      </c>
      <c r="T42" s="25" t="inlineStr">
        <is>
          <t>&lt;=</t>
        </is>
      </c>
      <c r="U42" s="25" t="inlineStr">
        <is>
          <t>&lt;=</t>
        </is>
      </c>
      <c r="V42" s="25" t="inlineStr">
        <is>
          <t>&lt;=</t>
        </is>
      </c>
      <c r="W42" s="25" t="inlineStr">
        <is>
          <t>&lt;=</t>
        </is>
      </c>
      <c r="X42" s="25" t="inlineStr">
        <is>
          <t>&lt;=</t>
        </is>
      </c>
      <c r="Y42" s="25" t="inlineStr">
        <is>
          <t>&lt;=</t>
        </is>
      </c>
      <c r="Z42" s="25" t="inlineStr">
        <is>
          <t>&lt;=</t>
        </is>
      </c>
      <c r="AA42" s="25" t="inlineStr">
        <is>
          <t>&lt;=</t>
        </is>
      </c>
      <c r="AB42" s="25" t="inlineStr">
        <is>
          <t>&lt;=</t>
        </is>
      </c>
      <c r="AC42" s="25" t="inlineStr">
        <is>
          <t>&lt;=</t>
        </is>
      </c>
      <c r="AD42" s="25" t="inlineStr">
        <is>
          <t>&lt;=</t>
        </is>
      </c>
      <c r="AE42" s="25" t="inlineStr">
        <is>
          <t>&lt;=</t>
        </is>
      </c>
      <c r="AF42" s="25" t="inlineStr">
        <is>
          <t>&lt;=</t>
        </is>
      </c>
      <c r="AG42" s="25" t="inlineStr">
        <is>
          <t>&lt;=</t>
        </is>
      </c>
      <c r="AH42" s="25" t="inlineStr">
        <is>
          <t>&lt;=</t>
        </is>
      </c>
      <c r="AI42" s="25" t="inlineStr">
        <is>
          <t>&lt;=</t>
        </is>
      </c>
      <c r="AJ42" s="25" t="inlineStr">
        <is>
          <t>&lt;=</t>
        </is>
      </c>
      <c r="AK42" s="25" t="inlineStr">
        <is>
          <t>&lt;=</t>
        </is>
      </c>
      <c r="AL42" s="25" t="inlineStr">
        <is>
          <t>&lt;=</t>
        </is>
      </c>
      <c r="AM42" s="25" t="inlineStr">
        <is>
          <t>&lt;=</t>
        </is>
      </c>
      <c r="AN42" s="25" t="inlineStr">
        <is>
          <t>&lt;=</t>
        </is>
      </c>
      <c r="AO42" s="25" t="inlineStr">
        <is>
          <t>&lt;=</t>
        </is>
      </c>
      <c r="AP42" s="25" t="inlineStr">
        <is>
          <t>&lt;=</t>
        </is>
      </c>
      <c r="AQ42" s="25" t="inlineStr">
        <is>
          <t>&lt;=</t>
        </is>
      </c>
      <c r="AR42" s="25" t="inlineStr">
        <is>
          <t>&lt;=</t>
        </is>
      </c>
      <c r="AS42" s="25" t="inlineStr">
        <is>
          <t>&lt;=</t>
        </is>
      </c>
      <c r="AT42" s="25" t="inlineStr">
        <is>
          <t>&lt;=</t>
        </is>
      </c>
      <c r="AU42" s="25" t="inlineStr">
        <is>
          <t>&lt;=</t>
        </is>
      </c>
      <c r="AV42" s="25" t="inlineStr">
        <is>
          <t>&lt;=</t>
        </is>
      </c>
      <c r="AW42" s="25" t="inlineStr">
        <is>
          <t>&lt;=</t>
        </is>
      </c>
      <c r="AX42" s="25" t="inlineStr">
        <is>
          <t>&lt;=</t>
        </is>
      </c>
      <c r="AY42" s="25" t="inlineStr">
        <is>
          <t>&lt;=</t>
        </is>
      </c>
      <c r="AZ42" s="25" t="inlineStr">
        <is>
          <t>&lt;=</t>
        </is>
      </c>
      <c r="BA42" s="25" t="inlineStr">
        <is>
          <t>&lt;=</t>
        </is>
      </c>
      <c r="BB42" s="25" t="inlineStr">
        <is>
          <t>&lt;=</t>
        </is>
      </c>
    </row>
    <row r="43">
      <c r="A43" s="3" t="inlineStr">
        <is>
          <t xml:space="preserve">  limit</t>
        </is>
      </c>
      <c r="B43" s="4" t="inlineStr">
        <is>
          <t>cap</t>
        </is>
      </c>
      <c r="C43" s="24">
        <f>$B$12</f>
        <v/>
      </c>
      <c r="D43" s="24">
        <f>$B$12</f>
        <v/>
      </c>
      <c r="E43" s="24">
        <f>$B$12</f>
        <v/>
      </c>
      <c r="F43" s="24">
        <f>$B$12</f>
        <v/>
      </c>
      <c r="G43" s="24">
        <f>$B$12</f>
        <v/>
      </c>
      <c r="H43" s="24">
        <f>$B$12</f>
        <v/>
      </c>
      <c r="I43" s="24">
        <f>$B$12</f>
        <v/>
      </c>
      <c r="J43" s="24">
        <f>$B$12</f>
        <v/>
      </c>
      <c r="K43" s="24">
        <f>$B$12</f>
        <v/>
      </c>
      <c r="L43" s="24">
        <f>$B$12</f>
        <v/>
      </c>
      <c r="M43" s="24">
        <f>$B$12</f>
        <v/>
      </c>
      <c r="N43" s="24">
        <f>$B$12</f>
        <v/>
      </c>
      <c r="O43" s="24">
        <f>$B$12</f>
        <v/>
      </c>
      <c r="P43" s="24">
        <f>$B$12</f>
        <v/>
      </c>
      <c r="Q43" s="24">
        <f>$B$12</f>
        <v/>
      </c>
      <c r="R43" s="24">
        <f>$B$12</f>
        <v/>
      </c>
      <c r="S43" s="24">
        <f>$B$12</f>
        <v/>
      </c>
      <c r="T43" s="24">
        <f>$B$12</f>
        <v/>
      </c>
      <c r="U43" s="24">
        <f>$B$12</f>
        <v/>
      </c>
      <c r="V43" s="24">
        <f>$B$12</f>
        <v/>
      </c>
      <c r="W43" s="24">
        <f>$B$12</f>
        <v/>
      </c>
      <c r="X43" s="24">
        <f>$B$12</f>
        <v/>
      </c>
      <c r="Y43" s="24">
        <f>$B$12</f>
        <v/>
      </c>
      <c r="Z43" s="24">
        <f>$B$12</f>
        <v/>
      </c>
      <c r="AA43" s="24">
        <f>$B$12</f>
        <v/>
      </c>
      <c r="AB43" s="24">
        <f>$B$12</f>
        <v/>
      </c>
      <c r="AC43" s="24">
        <f>$B$12</f>
        <v/>
      </c>
      <c r="AD43" s="24">
        <f>$B$12</f>
        <v/>
      </c>
      <c r="AE43" s="24">
        <f>$B$12</f>
        <v/>
      </c>
      <c r="AF43" s="24">
        <f>$B$12</f>
        <v/>
      </c>
      <c r="AG43" s="24">
        <f>$B$12</f>
        <v/>
      </c>
      <c r="AH43" s="24">
        <f>$B$12</f>
        <v/>
      </c>
      <c r="AI43" s="24">
        <f>$B$12</f>
        <v/>
      </c>
      <c r="AJ43" s="24">
        <f>$B$12</f>
        <v/>
      </c>
      <c r="AK43" s="24">
        <f>$B$12</f>
        <v/>
      </c>
      <c r="AL43" s="24">
        <f>$B$12</f>
        <v/>
      </c>
      <c r="AM43" s="24">
        <f>$B$12</f>
        <v/>
      </c>
      <c r="AN43" s="24">
        <f>$B$12</f>
        <v/>
      </c>
      <c r="AO43" s="24">
        <f>$B$12</f>
        <v/>
      </c>
      <c r="AP43" s="24">
        <f>$B$12</f>
        <v/>
      </c>
      <c r="AQ43" s="24">
        <f>$B$12</f>
        <v/>
      </c>
      <c r="AR43" s="24">
        <f>$B$12</f>
        <v/>
      </c>
      <c r="AS43" s="24">
        <f>$B$12</f>
        <v/>
      </c>
      <c r="AT43" s="24">
        <f>$B$12</f>
        <v/>
      </c>
      <c r="AU43" s="24">
        <f>$B$12</f>
        <v/>
      </c>
      <c r="AV43" s="24">
        <f>$B$12</f>
        <v/>
      </c>
      <c r="AW43" s="24">
        <f>$B$12</f>
        <v/>
      </c>
      <c r="AX43" s="24">
        <f>$B$12</f>
        <v/>
      </c>
      <c r="AY43" s="24">
        <f>$B$12</f>
        <v/>
      </c>
      <c r="AZ43" s="24">
        <f>$B$12</f>
        <v/>
      </c>
      <c r="BA43" s="24">
        <f>$B$12</f>
        <v/>
      </c>
      <c r="BB43" s="24">
        <f>$B$12</f>
        <v/>
      </c>
    </row>
    <row r="44">
      <c r="A44" s="21" t="inlineStr">
        <is>
          <t xml:space="preserve">  room left</t>
        </is>
      </c>
      <c r="B44" s="4" t="inlineStr"/>
      <c r="C44" s="24">
        <f>$B$12-C41</f>
        <v/>
      </c>
      <c r="D44" s="24">
        <f>$B$12-D41</f>
        <v/>
      </c>
      <c r="E44" s="24">
        <f>$B$12-E41</f>
        <v/>
      </c>
      <c r="F44" s="24">
        <f>$B$12-F41</f>
        <v/>
      </c>
      <c r="G44" s="24">
        <f>$B$12-G41</f>
        <v/>
      </c>
      <c r="H44" s="24">
        <f>$B$12-H41</f>
        <v/>
      </c>
      <c r="I44" s="24">
        <f>$B$12-I41</f>
        <v/>
      </c>
      <c r="J44" s="24">
        <f>$B$12-J41</f>
        <v/>
      </c>
      <c r="K44" s="24">
        <f>$B$12-K41</f>
        <v/>
      </c>
      <c r="L44" s="24">
        <f>$B$12-L41</f>
        <v/>
      </c>
      <c r="M44" s="24">
        <f>$B$12-M41</f>
        <v/>
      </c>
      <c r="N44" s="24">
        <f>$B$12-N41</f>
        <v/>
      </c>
      <c r="O44" s="24">
        <f>$B$12-O41</f>
        <v/>
      </c>
      <c r="P44" s="24">
        <f>$B$12-P41</f>
        <v/>
      </c>
      <c r="Q44" s="24">
        <f>$B$12-Q41</f>
        <v/>
      </c>
      <c r="R44" s="24">
        <f>$B$12-R41</f>
        <v/>
      </c>
      <c r="S44" s="24">
        <f>$B$12-S41</f>
        <v/>
      </c>
      <c r="T44" s="24">
        <f>$B$12-T41</f>
        <v/>
      </c>
      <c r="U44" s="24">
        <f>$B$12-U41</f>
        <v/>
      </c>
      <c r="V44" s="24">
        <f>$B$12-V41</f>
        <v/>
      </c>
      <c r="W44" s="24">
        <f>$B$12-W41</f>
        <v/>
      </c>
      <c r="X44" s="24">
        <f>$B$12-X41</f>
        <v/>
      </c>
      <c r="Y44" s="24">
        <f>$B$12-Y41</f>
        <v/>
      </c>
      <c r="Z44" s="24">
        <f>$B$12-Z41</f>
        <v/>
      </c>
      <c r="AA44" s="24">
        <f>$B$12-AA41</f>
        <v/>
      </c>
      <c r="AB44" s="24">
        <f>$B$12-AB41</f>
        <v/>
      </c>
      <c r="AC44" s="24">
        <f>$B$12-AC41</f>
        <v/>
      </c>
      <c r="AD44" s="24">
        <f>$B$12-AD41</f>
        <v/>
      </c>
      <c r="AE44" s="24">
        <f>$B$12-AE41</f>
        <v/>
      </c>
      <c r="AF44" s="24">
        <f>$B$12-AF41</f>
        <v/>
      </c>
      <c r="AG44" s="24">
        <f>$B$12-AG41</f>
        <v/>
      </c>
      <c r="AH44" s="24">
        <f>$B$12-AH41</f>
        <v/>
      </c>
      <c r="AI44" s="24">
        <f>$B$12-AI41</f>
        <v/>
      </c>
      <c r="AJ44" s="24">
        <f>$B$12-AJ41</f>
        <v/>
      </c>
      <c r="AK44" s="24">
        <f>$B$12-AK41</f>
        <v/>
      </c>
      <c r="AL44" s="24">
        <f>$B$12-AL41</f>
        <v/>
      </c>
      <c r="AM44" s="24">
        <f>$B$12-AM41</f>
        <v/>
      </c>
      <c r="AN44" s="24">
        <f>$B$12-AN41</f>
        <v/>
      </c>
      <c r="AO44" s="24">
        <f>$B$12-AO41</f>
        <v/>
      </c>
      <c r="AP44" s="24">
        <f>$B$12-AP41</f>
        <v/>
      </c>
      <c r="AQ44" s="24">
        <f>$B$12-AQ41</f>
        <v/>
      </c>
      <c r="AR44" s="24">
        <f>$B$12-AR41</f>
        <v/>
      </c>
      <c r="AS44" s="24">
        <f>$B$12-AS41</f>
        <v/>
      </c>
      <c r="AT44" s="24">
        <f>$B$12-AT41</f>
        <v/>
      </c>
      <c r="AU44" s="24">
        <f>$B$12-AU41</f>
        <v/>
      </c>
      <c r="AV44" s="24">
        <f>$B$12-AV41</f>
        <v/>
      </c>
      <c r="AW44" s="24">
        <f>$B$12-AW41</f>
        <v/>
      </c>
      <c r="AX44" s="24">
        <f>$B$12-AX41</f>
        <v/>
      </c>
      <c r="AY44" s="24">
        <f>$B$12-AY41</f>
        <v/>
      </c>
      <c r="AZ44" s="24">
        <f>$B$12-AZ41</f>
        <v/>
      </c>
      <c r="BA44" s="24">
        <f>$B$12-BA41</f>
        <v/>
      </c>
      <c r="BB44" s="24">
        <f>$B$12-BB41</f>
        <v/>
      </c>
    </row>
    <row r="45">
      <c r="A45" s="4" t="inlineStr">
        <is>
          <t xml:space="preserve">   Acres standing in the ground that week. A succession occupies its ground from planting to its LAST harvest week — which is why the five acre figures above can sum past your land and still be legal, as long as no single WEEK does.</t>
        </is>
      </c>
    </row>
    <row r="47">
      <c r="A47" s="2" t="inlineStr">
        <is>
          <t>SPINACH  —  cold store</t>
        </is>
      </c>
      <c r="B47" s="26" t="inlineStr"/>
    </row>
    <row r="48">
      <c r="A48" s="18" t="inlineStr">
        <is>
          <t>Week</t>
        </is>
      </c>
      <c r="B48" s="19" t="inlineStr"/>
      <c r="C48" s="20" t="n">
        <v>1</v>
      </c>
      <c r="D48" s="20" t="n">
        <v>2</v>
      </c>
      <c r="E48" s="20" t="n">
        <v>3</v>
      </c>
      <c r="F48" s="20" t="n">
        <v>4</v>
      </c>
      <c r="G48" s="20" t="n">
        <v>5</v>
      </c>
      <c r="H48" s="20" t="n">
        <v>6</v>
      </c>
      <c r="I48" s="20" t="n">
        <v>7</v>
      </c>
      <c r="J48" s="20" t="n">
        <v>8</v>
      </c>
      <c r="K48" s="20" t="n">
        <v>9</v>
      </c>
      <c r="L48" s="20" t="n">
        <v>10</v>
      </c>
      <c r="M48" s="20" t="n">
        <v>11</v>
      </c>
      <c r="N48" s="20" t="n">
        <v>12</v>
      </c>
      <c r="O48" s="20" t="n">
        <v>13</v>
      </c>
      <c r="P48" s="20" t="n">
        <v>14</v>
      </c>
      <c r="Q48" s="20" t="n">
        <v>15</v>
      </c>
      <c r="R48" s="20" t="n">
        <v>16</v>
      </c>
      <c r="S48" s="20" t="n">
        <v>17</v>
      </c>
      <c r="T48" s="20" t="n">
        <v>18</v>
      </c>
      <c r="U48" s="20" t="n">
        <v>19</v>
      </c>
      <c r="V48" s="20" t="n">
        <v>20</v>
      </c>
      <c r="W48" s="20" t="n">
        <v>21</v>
      </c>
      <c r="X48" s="20" t="n">
        <v>22</v>
      </c>
      <c r="Y48" s="20" t="n">
        <v>23</v>
      </c>
      <c r="Z48" s="20" t="n">
        <v>24</v>
      </c>
      <c r="AA48" s="20" t="n">
        <v>25</v>
      </c>
      <c r="AB48" s="20" t="n">
        <v>26</v>
      </c>
      <c r="AC48" s="20" t="n">
        <v>27</v>
      </c>
      <c r="AD48" s="20" t="n">
        <v>28</v>
      </c>
      <c r="AE48" s="20" t="n">
        <v>29</v>
      </c>
      <c r="AF48" s="20" t="n">
        <v>30</v>
      </c>
      <c r="AG48" s="20" t="n">
        <v>31</v>
      </c>
      <c r="AH48" s="20" t="n">
        <v>32</v>
      </c>
      <c r="AI48" s="20" t="n">
        <v>33</v>
      </c>
      <c r="AJ48" s="20" t="n">
        <v>34</v>
      </c>
      <c r="AK48" s="20" t="n">
        <v>35</v>
      </c>
      <c r="AL48" s="20" t="n">
        <v>36</v>
      </c>
      <c r="AM48" s="20" t="n">
        <v>37</v>
      </c>
      <c r="AN48" s="20" t="n">
        <v>38</v>
      </c>
      <c r="AO48" s="20" t="n">
        <v>39</v>
      </c>
      <c r="AP48" s="20" t="n">
        <v>40</v>
      </c>
      <c r="AQ48" s="20" t="n">
        <v>41</v>
      </c>
      <c r="AR48" s="20" t="n">
        <v>42</v>
      </c>
      <c r="AS48" s="20" t="n">
        <v>43</v>
      </c>
      <c r="AT48" s="20" t="n">
        <v>44</v>
      </c>
      <c r="AU48" s="20" t="n">
        <v>45</v>
      </c>
      <c r="AV48" s="20" t="n">
        <v>46</v>
      </c>
      <c r="AW48" s="20" t="n">
        <v>47</v>
      </c>
      <c r="AX48" s="20" t="n">
        <v>48</v>
      </c>
      <c r="AY48" s="20" t="n">
        <v>49</v>
      </c>
      <c r="AZ48" s="20" t="n">
        <v>50</v>
      </c>
      <c r="BA48" s="20" t="n">
        <v>51</v>
      </c>
      <c r="BB48" s="20" t="n">
        <v>52</v>
      </c>
    </row>
    <row r="49">
      <c r="A49" s="21" t="inlineStr">
        <is>
          <t>Harvested this week</t>
        </is>
      </c>
      <c r="B49" s="4" t="inlineStr">
        <is>
          <t>lb</t>
        </is>
      </c>
      <c r="C49" s="23">
        <f>C29+C31</f>
        <v/>
      </c>
      <c r="D49" s="23">
        <f>D29+D31</f>
        <v/>
      </c>
      <c r="E49" s="23">
        <f>E29+E31</f>
        <v/>
      </c>
      <c r="F49" s="23">
        <f>F29+F31</f>
        <v/>
      </c>
      <c r="G49" s="23">
        <f>G29+G31</f>
        <v/>
      </c>
      <c r="H49" s="23">
        <f>H29+H31</f>
        <v/>
      </c>
      <c r="I49" s="23">
        <f>I29+I31</f>
        <v/>
      </c>
      <c r="J49" s="23">
        <f>J29+J31</f>
        <v/>
      </c>
      <c r="K49" s="23">
        <f>K29+K31</f>
        <v/>
      </c>
      <c r="L49" s="23">
        <f>L29+L31</f>
        <v/>
      </c>
      <c r="M49" s="23">
        <f>M29+M31</f>
        <v/>
      </c>
      <c r="N49" s="23">
        <f>N29+N31</f>
        <v/>
      </c>
      <c r="O49" s="23">
        <f>O29+O31</f>
        <v/>
      </c>
      <c r="P49" s="23">
        <f>P29+P31</f>
        <v/>
      </c>
      <c r="Q49" s="23">
        <f>Q29+Q31</f>
        <v/>
      </c>
      <c r="R49" s="23">
        <f>R29+R31</f>
        <v/>
      </c>
      <c r="S49" s="23">
        <f>S29+S31</f>
        <v/>
      </c>
      <c r="T49" s="23">
        <f>T29+T31</f>
        <v/>
      </c>
      <c r="U49" s="23">
        <f>U29+U31</f>
        <v/>
      </c>
      <c r="V49" s="23">
        <f>V29+V31</f>
        <v/>
      </c>
      <c r="W49" s="23">
        <f>W29+W31</f>
        <v/>
      </c>
      <c r="X49" s="23">
        <f>X29+X31</f>
        <v/>
      </c>
      <c r="Y49" s="23">
        <f>Y29+Y31</f>
        <v/>
      </c>
      <c r="Z49" s="23">
        <f>Z29+Z31</f>
        <v/>
      </c>
      <c r="AA49" s="23">
        <f>AA29+AA31</f>
        <v/>
      </c>
      <c r="AB49" s="23">
        <f>AB29+AB31</f>
        <v/>
      </c>
      <c r="AC49" s="23">
        <f>AC29+AC31</f>
        <v/>
      </c>
      <c r="AD49" s="23">
        <f>AD29+AD31</f>
        <v/>
      </c>
      <c r="AE49" s="23">
        <f>AE29+AE31</f>
        <v/>
      </c>
      <c r="AF49" s="23">
        <f>AF29+AF31</f>
        <v/>
      </c>
      <c r="AG49" s="23">
        <f>AG29+AG31</f>
        <v/>
      </c>
      <c r="AH49" s="23">
        <f>AH29+AH31</f>
        <v/>
      </c>
      <c r="AI49" s="23">
        <f>AI29+AI31</f>
        <v/>
      </c>
      <c r="AJ49" s="23">
        <f>AJ29+AJ31</f>
        <v/>
      </c>
      <c r="AK49" s="23">
        <f>AK29+AK31</f>
        <v/>
      </c>
      <c r="AL49" s="23">
        <f>AL29+AL31</f>
        <v/>
      </c>
      <c r="AM49" s="23">
        <f>AM29+AM31</f>
        <v/>
      </c>
      <c r="AN49" s="23">
        <f>AN29+AN31</f>
        <v/>
      </c>
      <c r="AO49" s="23">
        <f>AO29+AO31</f>
        <v/>
      </c>
      <c r="AP49" s="23">
        <f>AP29+AP31</f>
        <v/>
      </c>
      <c r="AQ49" s="23">
        <f>AQ29+AQ31</f>
        <v/>
      </c>
      <c r="AR49" s="23">
        <f>AR29+AR31</f>
        <v/>
      </c>
      <c r="AS49" s="23">
        <f>AS29+AS31</f>
        <v/>
      </c>
      <c r="AT49" s="23">
        <f>AT29+AT31</f>
        <v/>
      </c>
      <c r="AU49" s="23">
        <f>AU29+AU31</f>
        <v/>
      </c>
      <c r="AV49" s="23">
        <f>AV29+AV31</f>
        <v/>
      </c>
      <c r="AW49" s="23">
        <f>AW29+AW31</f>
        <v/>
      </c>
      <c r="AX49" s="23">
        <f>AX29+AX31</f>
        <v/>
      </c>
      <c r="AY49" s="23">
        <f>AY29+AY31</f>
        <v/>
      </c>
      <c r="AZ49" s="23">
        <f>AZ29+AZ31</f>
        <v/>
      </c>
      <c r="BA49" s="23">
        <f>BA29+BA31</f>
        <v/>
      </c>
      <c r="BB49" s="23">
        <f>BB29+BB31</f>
        <v/>
      </c>
    </row>
    <row r="50">
      <c r="A50" s="21" t="inlineStr">
        <is>
          <t>Stock carried in</t>
        </is>
      </c>
      <c r="B50" s="4" t="inlineStr">
        <is>
          <t>lb</t>
        </is>
      </c>
      <c r="C50" s="23" t="n">
        <v>0</v>
      </c>
      <c r="D50" s="23">
        <f>C54</f>
        <v/>
      </c>
      <c r="E50" s="23">
        <f>D54</f>
        <v/>
      </c>
      <c r="F50" s="23">
        <f>E54</f>
        <v/>
      </c>
      <c r="G50" s="23">
        <f>F54</f>
        <v/>
      </c>
      <c r="H50" s="23">
        <f>G54</f>
        <v/>
      </c>
      <c r="I50" s="23">
        <f>H54</f>
        <v/>
      </c>
      <c r="J50" s="23">
        <f>I54</f>
        <v/>
      </c>
      <c r="K50" s="23">
        <f>J54</f>
        <v/>
      </c>
      <c r="L50" s="23">
        <f>K54</f>
        <v/>
      </c>
      <c r="M50" s="23">
        <f>L54</f>
        <v/>
      </c>
      <c r="N50" s="23">
        <f>M54</f>
        <v/>
      </c>
      <c r="O50" s="23">
        <f>N54</f>
        <v/>
      </c>
      <c r="P50" s="23">
        <f>O54</f>
        <v/>
      </c>
      <c r="Q50" s="23">
        <f>P54</f>
        <v/>
      </c>
      <c r="R50" s="23">
        <f>Q54</f>
        <v/>
      </c>
      <c r="S50" s="23">
        <f>R54</f>
        <v/>
      </c>
      <c r="T50" s="23">
        <f>S54</f>
        <v/>
      </c>
      <c r="U50" s="23">
        <f>T54</f>
        <v/>
      </c>
      <c r="V50" s="23">
        <f>U54</f>
        <v/>
      </c>
      <c r="W50" s="23">
        <f>V54</f>
        <v/>
      </c>
      <c r="X50" s="23">
        <f>W54</f>
        <v/>
      </c>
      <c r="Y50" s="23">
        <f>X54</f>
        <v/>
      </c>
      <c r="Z50" s="23">
        <f>Y54</f>
        <v/>
      </c>
      <c r="AA50" s="23">
        <f>Z54</f>
        <v/>
      </c>
      <c r="AB50" s="23">
        <f>AA54</f>
        <v/>
      </c>
      <c r="AC50" s="23">
        <f>AB54</f>
        <v/>
      </c>
      <c r="AD50" s="23">
        <f>AC54</f>
        <v/>
      </c>
      <c r="AE50" s="23">
        <f>AD54</f>
        <v/>
      </c>
      <c r="AF50" s="23">
        <f>AE54</f>
        <v/>
      </c>
      <c r="AG50" s="23">
        <f>AF54</f>
        <v/>
      </c>
      <c r="AH50" s="23">
        <f>AG54</f>
        <v/>
      </c>
      <c r="AI50" s="23">
        <f>AH54</f>
        <v/>
      </c>
      <c r="AJ50" s="23">
        <f>AI54</f>
        <v/>
      </c>
      <c r="AK50" s="23">
        <f>AJ54</f>
        <v/>
      </c>
      <c r="AL50" s="23">
        <f>AK54</f>
        <v/>
      </c>
      <c r="AM50" s="23">
        <f>AL54</f>
        <v/>
      </c>
      <c r="AN50" s="23">
        <f>AM54</f>
        <v/>
      </c>
      <c r="AO50" s="23">
        <f>AN54</f>
        <v/>
      </c>
      <c r="AP50" s="23">
        <f>AO54</f>
        <v/>
      </c>
      <c r="AQ50" s="23">
        <f>AP54</f>
        <v/>
      </c>
      <c r="AR50" s="23">
        <f>AQ54</f>
        <v/>
      </c>
      <c r="AS50" s="23">
        <f>AR54</f>
        <v/>
      </c>
      <c r="AT50" s="23">
        <f>AS54</f>
        <v/>
      </c>
      <c r="AU50" s="23">
        <f>AT54</f>
        <v/>
      </c>
      <c r="AV50" s="23">
        <f>AU54</f>
        <v/>
      </c>
      <c r="AW50" s="23">
        <f>AV54</f>
        <v/>
      </c>
      <c r="AX50" s="23">
        <f>AW54</f>
        <v/>
      </c>
      <c r="AY50" s="23">
        <f>AX54</f>
        <v/>
      </c>
      <c r="AZ50" s="23">
        <f>AY54</f>
        <v/>
      </c>
      <c r="BA50" s="23">
        <f>AZ54</f>
        <v/>
      </c>
      <c r="BB50" s="23">
        <f>BA54</f>
        <v/>
      </c>
    </row>
    <row r="51">
      <c r="A51" s="21" t="inlineStr">
        <is>
          <t xml:space="preserve">   lost to shrink</t>
        </is>
      </c>
      <c r="B51" s="4" t="inlineStr">
        <is>
          <t>lb</t>
        </is>
      </c>
      <c r="C51" s="23">
        <f>C50*$G$16</f>
        <v/>
      </c>
      <c r="D51" s="23">
        <f>D50*$G$16</f>
        <v/>
      </c>
      <c r="E51" s="23">
        <f>E50*$G$16</f>
        <v/>
      </c>
      <c r="F51" s="23">
        <f>F50*$G$16</f>
        <v/>
      </c>
      <c r="G51" s="23">
        <f>G50*$G$16</f>
        <v/>
      </c>
      <c r="H51" s="23">
        <f>H50*$G$16</f>
        <v/>
      </c>
      <c r="I51" s="23">
        <f>I50*$G$16</f>
        <v/>
      </c>
      <c r="J51" s="23">
        <f>J50*$G$16</f>
        <v/>
      </c>
      <c r="K51" s="23">
        <f>K50*$G$16</f>
        <v/>
      </c>
      <c r="L51" s="23">
        <f>L50*$G$16</f>
        <v/>
      </c>
      <c r="M51" s="23">
        <f>M50*$G$16</f>
        <v/>
      </c>
      <c r="N51" s="23">
        <f>N50*$G$16</f>
        <v/>
      </c>
      <c r="O51" s="23">
        <f>O50*$G$16</f>
        <v/>
      </c>
      <c r="P51" s="23">
        <f>P50*$G$16</f>
        <v/>
      </c>
      <c r="Q51" s="23">
        <f>Q50*$G$16</f>
        <v/>
      </c>
      <c r="R51" s="23">
        <f>R50*$G$16</f>
        <v/>
      </c>
      <c r="S51" s="23">
        <f>S50*$G$16</f>
        <v/>
      </c>
      <c r="T51" s="23">
        <f>T50*$G$16</f>
        <v/>
      </c>
      <c r="U51" s="23">
        <f>U50*$G$16</f>
        <v/>
      </c>
      <c r="V51" s="23">
        <f>V50*$G$16</f>
        <v/>
      </c>
      <c r="W51" s="23">
        <f>W50*$G$16</f>
        <v/>
      </c>
      <c r="X51" s="23">
        <f>X50*$G$16</f>
        <v/>
      </c>
      <c r="Y51" s="23">
        <f>Y50*$G$16</f>
        <v/>
      </c>
      <c r="Z51" s="23">
        <f>Z50*$G$16</f>
        <v/>
      </c>
      <c r="AA51" s="23">
        <f>AA50*$G$16</f>
        <v/>
      </c>
      <c r="AB51" s="23">
        <f>AB50*$G$16</f>
        <v/>
      </c>
      <c r="AC51" s="23">
        <f>AC50*$G$16</f>
        <v/>
      </c>
      <c r="AD51" s="23">
        <f>AD50*$G$16</f>
        <v/>
      </c>
      <c r="AE51" s="23">
        <f>AE50*$G$16</f>
        <v/>
      </c>
      <c r="AF51" s="23">
        <f>AF50*$G$16</f>
        <v/>
      </c>
      <c r="AG51" s="23">
        <f>AG50*$G$16</f>
        <v/>
      </c>
      <c r="AH51" s="23">
        <f>AH50*$G$16</f>
        <v/>
      </c>
      <c r="AI51" s="23">
        <f>AI50*$G$16</f>
        <v/>
      </c>
      <c r="AJ51" s="23">
        <f>AJ50*$G$16</f>
        <v/>
      </c>
      <c r="AK51" s="23">
        <f>AK50*$G$16</f>
        <v/>
      </c>
      <c r="AL51" s="23">
        <f>AL50*$G$16</f>
        <v/>
      </c>
      <c r="AM51" s="23">
        <f>AM50*$G$16</f>
        <v/>
      </c>
      <c r="AN51" s="23">
        <f>AN50*$G$16</f>
        <v/>
      </c>
      <c r="AO51" s="23">
        <f>AO50*$G$16</f>
        <v/>
      </c>
      <c r="AP51" s="23">
        <f>AP50*$G$16</f>
        <v/>
      </c>
      <c r="AQ51" s="23">
        <f>AQ50*$G$16</f>
        <v/>
      </c>
      <c r="AR51" s="23">
        <f>AR50*$G$16</f>
        <v/>
      </c>
      <c r="AS51" s="23">
        <f>AS50*$G$16</f>
        <v/>
      </c>
      <c r="AT51" s="23">
        <f>AT50*$G$16</f>
        <v/>
      </c>
      <c r="AU51" s="23">
        <f>AU50*$G$16</f>
        <v/>
      </c>
      <c r="AV51" s="23">
        <f>AV50*$G$16</f>
        <v/>
      </c>
      <c r="AW51" s="23">
        <f>AW50*$G$16</f>
        <v/>
      </c>
      <c r="AX51" s="23">
        <f>AX50*$G$16</f>
        <v/>
      </c>
      <c r="AY51" s="23">
        <f>AY50*$G$16</f>
        <v/>
      </c>
      <c r="AZ51" s="23">
        <f>AZ50*$G$16</f>
        <v/>
      </c>
      <c r="BA51" s="23">
        <f>BA50*$G$16</f>
        <v/>
      </c>
      <c r="BB51" s="23">
        <f>BB50*$G$16</f>
        <v/>
      </c>
    </row>
    <row r="52">
      <c r="A52" s="21" t="inlineStr">
        <is>
          <t>Available to sell</t>
        </is>
      </c>
      <c r="B52" s="4" t="inlineStr">
        <is>
          <t>lb</t>
        </is>
      </c>
      <c r="C52" s="23">
        <f>C50-C51+C49</f>
        <v/>
      </c>
      <c r="D52" s="23">
        <f>D50-D51+D49</f>
        <v/>
      </c>
      <c r="E52" s="23">
        <f>E50-E51+E49</f>
        <v/>
      </c>
      <c r="F52" s="23">
        <f>F50-F51+F49</f>
        <v/>
      </c>
      <c r="G52" s="23">
        <f>G50-G51+G49</f>
        <v/>
      </c>
      <c r="H52" s="23">
        <f>H50-H51+H49</f>
        <v/>
      </c>
      <c r="I52" s="23">
        <f>I50-I51+I49</f>
        <v/>
      </c>
      <c r="J52" s="23">
        <f>J50-J51+J49</f>
        <v/>
      </c>
      <c r="K52" s="23">
        <f>K50-K51+K49</f>
        <v/>
      </c>
      <c r="L52" s="23">
        <f>L50-L51+L49</f>
        <v/>
      </c>
      <c r="M52" s="23">
        <f>M50-M51+M49</f>
        <v/>
      </c>
      <c r="N52" s="23">
        <f>N50-N51+N49</f>
        <v/>
      </c>
      <c r="O52" s="23">
        <f>O50-O51+O49</f>
        <v/>
      </c>
      <c r="P52" s="23">
        <f>P50-P51+P49</f>
        <v/>
      </c>
      <c r="Q52" s="23">
        <f>Q50-Q51+Q49</f>
        <v/>
      </c>
      <c r="R52" s="23">
        <f>R50-R51+R49</f>
        <v/>
      </c>
      <c r="S52" s="23">
        <f>S50-S51+S49</f>
        <v/>
      </c>
      <c r="T52" s="23">
        <f>T50-T51+T49</f>
        <v/>
      </c>
      <c r="U52" s="23">
        <f>U50-U51+U49</f>
        <v/>
      </c>
      <c r="V52" s="23">
        <f>V50-V51+V49</f>
        <v/>
      </c>
      <c r="W52" s="23">
        <f>W50-W51+W49</f>
        <v/>
      </c>
      <c r="X52" s="23">
        <f>X50-X51+X49</f>
        <v/>
      </c>
      <c r="Y52" s="23">
        <f>Y50-Y51+Y49</f>
        <v/>
      </c>
      <c r="Z52" s="23">
        <f>Z50-Z51+Z49</f>
        <v/>
      </c>
      <c r="AA52" s="23">
        <f>AA50-AA51+AA49</f>
        <v/>
      </c>
      <c r="AB52" s="23">
        <f>AB50-AB51+AB49</f>
        <v/>
      </c>
      <c r="AC52" s="23">
        <f>AC50-AC51+AC49</f>
        <v/>
      </c>
      <c r="AD52" s="23">
        <f>AD50-AD51+AD49</f>
        <v/>
      </c>
      <c r="AE52" s="23">
        <f>AE50-AE51+AE49</f>
        <v/>
      </c>
      <c r="AF52" s="23">
        <f>AF50-AF51+AF49</f>
        <v/>
      </c>
      <c r="AG52" s="23">
        <f>AG50-AG51+AG49</f>
        <v/>
      </c>
      <c r="AH52" s="23">
        <f>AH50-AH51+AH49</f>
        <v/>
      </c>
      <c r="AI52" s="23">
        <f>AI50-AI51+AI49</f>
        <v/>
      </c>
      <c r="AJ52" s="23">
        <f>AJ50-AJ51+AJ49</f>
        <v/>
      </c>
      <c r="AK52" s="23">
        <f>AK50-AK51+AK49</f>
        <v/>
      </c>
      <c r="AL52" s="23">
        <f>AL50-AL51+AL49</f>
        <v/>
      </c>
      <c r="AM52" s="23">
        <f>AM50-AM51+AM49</f>
        <v/>
      </c>
      <c r="AN52" s="23">
        <f>AN50-AN51+AN49</f>
        <v/>
      </c>
      <c r="AO52" s="23">
        <f>AO50-AO51+AO49</f>
        <v/>
      </c>
      <c r="AP52" s="23">
        <f>AP50-AP51+AP49</f>
        <v/>
      </c>
      <c r="AQ52" s="23">
        <f>AQ50-AQ51+AQ49</f>
        <v/>
      </c>
      <c r="AR52" s="23">
        <f>AR50-AR51+AR49</f>
        <v/>
      </c>
      <c r="AS52" s="23">
        <f>AS50-AS51+AS49</f>
        <v/>
      </c>
      <c r="AT52" s="23">
        <f>AT50-AT51+AT49</f>
        <v/>
      </c>
      <c r="AU52" s="23">
        <f>AU50-AU51+AU49</f>
        <v/>
      </c>
      <c r="AV52" s="23">
        <f>AV50-AV51+AV49</f>
        <v/>
      </c>
      <c r="AW52" s="23">
        <f>AW50-AW51+AW49</f>
        <v/>
      </c>
      <c r="AX52" s="23">
        <f>AX50-AX51+AX49</f>
        <v/>
      </c>
      <c r="AY52" s="23">
        <f>AY50-AY51+AY49</f>
        <v/>
      </c>
      <c r="AZ52" s="23">
        <f>AZ50-AZ51+AZ49</f>
        <v/>
      </c>
      <c r="BA52" s="23">
        <f>BA50-BA51+BA49</f>
        <v/>
      </c>
      <c r="BB52" s="23">
        <f>BB50-BB51+BB49</f>
        <v/>
      </c>
    </row>
    <row r="53">
      <c r="A53" s="21" t="inlineStr">
        <is>
          <t>Sold</t>
        </is>
      </c>
      <c r="B53" s="4" t="inlineStr">
        <is>
          <t>lb</t>
        </is>
      </c>
      <c r="C53" s="23">
        <f>MIN(C52,$H$16)</f>
        <v/>
      </c>
      <c r="D53" s="23">
        <f>MIN(D52,$H$16)</f>
        <v/>
      </c>
      <c r="E53" s="23">
        <f>MIN(E52,$H$16)</f>
        <v/>
      </c>
      <c r="F53" s="23">
        <f>MIN(F52,$H$16)</f>
        <v/>
      </c>
      <c r="G53" s="23">
        <f>MIN(G52,$H$16)</f>
        <v/>
      </c>
      <c r="H53" s="23">
        <f>MIN(H52,$H$16)</f>
        <v/>
      </c>
      <c r="I53" s="23">
        <f>MIN(I52,$H$16)</f>
        <v/>
      </c>
      <c r="J53" s="23">
        <f>MIN(J52,$H$16)</f>
        <v/>
      </c>
      <c r="K53" s="23">
        <f>MIN(K52,$H$16)</f>
        <v/>
      </c>
      <c r="L53" s="23">
        <f>MIN(L52,$H$16)</f>
        <v/>
      </c>
      <c r="M53" s="23">
        <f>MIN(M52,$H$16)</f>
        <v/>
      </c>
      <c r="N53" s="23">
        <f>MIN(N52,$H$16)</f>
        <v/>
      </c>
      <c r="O53" s="23">
        <f>MIN(O52,$H$16)</f>
        <v/>
      </c>
      <c r="P53" s="23">
        <f>MIN(P52,$H$16)</f>
        <v/>
      </c>
      <c r="Q53" s="23">
        <f>MIN(Q52,$H$16)</f>
        <v/>
      </c>
      <c r="R53" s="23">
        <f>MIN(R52,$H$16)</f>
        <v/>
      </c>
      <c r="S53" s="23">
        <f>MIN(S52,$H$16)</f>
        <v/>
      </c>
      <c r="T53" s="23">
        <f>MIN(T52,$H$16)</f>
        <v/>
      </c>
      <c r="U53" s="23">
        <f>MIN(U52,$H$16)</f>
        <v/>
      </c>
      <c r="V53" s="23">
        <f>MIN(V52,$H$16)</f>
        <v/>
      </c>
      <c r="W53" s="23">
        <f>MIN(W52,$H$16)</f>
        <v/>
      </c>
      <c r="X53" s="23">
        <f>MIN(X52,$H$16)</f>
        <v/>
      </c>
      <c r="Y53" s="23">
        <f>MIN(Y52,$H$16)</f>
        <v/>
      </c>
      <c r="Z53" s="23">
        <f>MIN(Z52,$H$16)</f>
        <v/>
      </c>
      <c r="AA53" s="23">
        <f>MIN(AA52,$H$16)</f>
        <v/>
      </c>
      <c r="AB53" s="23">
        <f>MIN(AB52,$H$16)</f>
        <v/>
      </c>
      <c r="AC53" s="23">
        <f>MIN(AC52,$H$16)</f>
        <v/>
      </c>
      <c r="AD53" s="23">
        <f>MIN(AD52,$H$16)</f>
        <v/>
      </c>
      <c r="AE53" s="23">
        <f>MIN(AE52,$H$16)</f>
        <v/>
      </c>
      <c r="AF53" s="23">
        <f>MIN(AF52,$H$16)</f>
        <v/>
      </c>
      <c r="AG53" s="23">
        <f>MIN(AG52,$H$16)</f>
        <v/>
      </c>
      <c r="AH53" s="23">
        <f>MIN(AH52,$H$16)</f>
        <v/>
      </c>
      <c r="AI53" s="23">
        <f>MIN(AI52,$H$16)</f>
        <v/>
      </c>
      <c r="AJ53" s="23">
        <f>MIN(AJ52,$H$16)</f>
        <v/>
      </c>
      <c r="AK53" s="23">
        <f>MIN(AK52,$H$16)</f>
        <v/>
      </c>
      <c r="AL53" s="23">
        <f>MIN(AL52,$H$16)</f>
        <v/>
      </c>
      <c r="AM53" s="23">
        <f>MIN(AM52,$H$16)</f>
        <v/>
      </c>
      <c r="AN53" s="23">
        <f>MIN(AN52,$H$16)</f>
        <v/>
      </c>
      <c r="AO53" s="23">
        <f>MIN(AO52,$H$16)</f>
        <v/>
      </c>
      <c r="AP53" s="23">
        <f>MIN(AP52,$H$16)</f>
        <v/>
      </c>
      <c r="AQ53" s="23">
        <f>MIN(AQ52,$H$16)</f>
        <v/>
      </c>
      <c r="AR53" s="23">
        <f>MIN(AR52,$H$16)</f>
        <v/>
      </c>
      <c r="AS53" s="23">
        <f>MIN(AS52,$H$16)</f>
        <v/>
      </c>
      <c r="AT53" s="23">
        <f>MIN(AT52,$H$16)</f>
        <v/>
      </c>
      <c r="AU53" s="23">
        <f>MIN(AU52,$H$16)</f>
        <v/>
      </c>
      <c r="AV53" s="23">
        <f>MIN(AV52,$H$16)</f>
        <v/>
      </c>
      <c r="AW53" s="23">
        <f>MIN(AW52,$H$16)</f>
        <v/>
      </c>
      <c r="AX53" s="23">
        <f>MIN(AX52,$H$16)</f>
        <v/>
      </c>
      <c r="AY53" s="23">
        <f>MIN(AY52,$H$16)</f>
        <v/>
      </c>
      <c r="AZ53" s="23">
        <f>MIN(AZ52,$H$16)</f>
        <v/>
      </c>
      <c r="BA53" s="23">
        <f>MIN(BA52,$H$16)</f>
        <v/>
      </c>
      <c r="BB53" s="23">
        <f>MIN(BB52,$H$16)</f>
        <v/>
      </c>
    </row>
    <row r="54">
      <c r="A54" s="3" t="inlineStr">
        <is>
          <t>Stock carried out</t>
        </is>
      </c>
      <c r="B54" s="4" t="inlineStr">
        <is>
          <t>lb</t>
        </is>
      </c>
      <c r="C54" s="23">
        <f>C52-C53</f>
        <v/>
      </c>
      <c r="D54" s="23">
        <f>D52-D53</f>
        <v/>
      </c>
      <c r="E54" s="23">
        <f>E52-E53</f>
        <v/>
      </c>
      <c r="F54" s="23">
        <f>F52-F53</f>
        <v/>
      </c>
      <c r="G54" s="23">
        <f>G52-G53</f>
        <v/>
      </c>
      <c r="H54" s="23">
        <f>H52-H53</f>
        <v/>
      </c>
      <c r="I54" s="23">
        <f>I52-I53</f>
        <v/>
      </c>
      <c r="J54" s="23">
        <f>J52-J53</f>
        <v/>
      </c>
      <c r="K54" s="23">
        <f>K52-K53</f>
        <v/>
      </c>
      <c r="L54" s="23">
        <f>L52-L53</f>
        <v/>
      </c>
      <c r="M54" s="23">
        <f>M52-M53</f>
        <v/>
      </c>
      <c r="N54" s="23">
        <f>N52-N53</f>
        <v/>
      </c>
      <c r="O54" s="23">
        <f>O52-O53</f>
        <v/>
      </c>
      <c r="P54" s="23">
        <f>P52-P53</f>
        <v/>
      </c>
      <c r="Q54" s="23">
        <f>Q52-Q53</f>
        <v/>
      </c>
      <c r="R54" s="23">
        <f>R52-R53</f>
        <v/>
      </c>
      <c r="S54" s="23">
        <f>S52-S53</f>
        <v/>
      </c>
      <c r="T54" s="23">
        <f>T52-T53</f>
        <v/>
      </c>
      <c r="U54" s="23">
        <f>U52-U53</f>
        <v/>
      </c>
      <c r="V54" s="23">
        <f>V52-V53</f>
        <v/>
      </c>
      <c r="W54" s="23">
        <f>W52-W53</f>
        <v/>
      </c>
      <c r="X54" s="23">
        <f>X52-X53</f>
        <v/>
      </c>
      <c r="Y54" s="23">
        <f>Y52-Y53</f>
        <v/>
      </c>
      <c r="Z54" s="23">
        <f>Z52-Z53</f>
        <v/>
      </c>
      <c r="AA54" s="23">
        <f>AA52-AA53</f>
        <v/>
      </c>
      <c r="AB54" s="23">
        <f>AB52-AB53</f>
        <v/>
      </c>
      <c r="AC54" s="23">
        <f>AC52-AC53</f>
        <v/>
      </c>
      <c r="AD54" s="23">
        <f>AD52-AD53</f>
        <v/>
      </c>
      <c r="AE54" s="23">
        <f>AE52-AE53</f>
        <v/>
      </c>
      <c r="AF54" s="23">
        <f>AF52-AF53</f>
        <v/>
      </c>
      <c r="AG54" s="23">
        <f>AG52-AG53</f>
        <v/>
      </c>
      <c r="AH54" s="23">
        <f>AH52-AH53</f>
        <v/>
      </c>
      <c r="AI54" s="23">
        <f>AI52-AI53</f>
        <v/>
      </c>
      <c r="AJ54" s="23">
        <f>AJ52-AJ53</f>
        <v/>
      </c>
      <c r="AK54" s="23">
        <f>AK52-AK53</f>
        <v/>
      </c>
      <c r="AL54" s="23">
        <f>AL52-AL53</f>
        <v/>
      </c>
      <c r="AM54" s="23">
        <f>AM52-AM53</f>
        <v/>
      </c>
      <c r="AN54" s="23">
        <f>AN52-AN53</f>
        <v/>
      </c>
      <c r="AO54" s="23">
        <f>AO52-AO53</f>
        <v/>
      </c>
      <c r="AP54" s="23">
        <f>AP52-AP53</f>
        <v/>
      </c>
      <c r="AQ54" s="23">
        <f>AQ52-AQ53</f>
        <v/>
      </c>
      <c r="AR54" s="23">
        <f>AR52-AR53</f>
        <v/>
      </c>
      <c r="AS54" s="23">
        <f>AS52-AS53</f>
        <v/>
      </c>
      <c r="AT54" s="23">
        <f>AT52-AT53</f>
        <v/>
      </c>
      <c r="AU54" s="23">
        <f>AU52-AU53</f>
        <v/>
      </c>
      <c r="AV54" s="23">
        <f>AV52-AV53</f>
        <v/>
      </c>
      <c r="AW54" s="23">
        <f>AW52-AW53</f>
        <v/>
      </c>
      <c r="AX54" s="23">
        <f>AX52-AX53</f>
        <v/>
      </c>
      <c r="AY54" s="23">
        <f>AY52-AY53</f>
        <v/>
      </c>
      <c r="AZ54" s="23">
        <f>AZ52-AZ53</f>
        <v/>
      </c>
      <c r="BA54" s="23">
        <f>BA52-BA53</f>
        <v/>
      </c>
      <c r="BB54" s="23">
        <f>BB52-BB53</f>
        <v/>
      </c>
    </row>
    <row r="55">
      <c r="A55" s="3" t="inlineStr">
        <is>
          <t>ROOM OCCUPANCY</t>
        </is>
      </c>
      <c r="B55" s="4" t="inlineStr">
        <is>
          <t>m3</t>
        </is>
      </c>
      <c r="C55" s="27">
        <f>(C50+C49)*$D$16</f>
        <v/>
      </c>
      <c r="D55" s="27">
        <f>(D50+D49)*$D$16</f>
        <v/>
      </c>
      <c r="E55" s="27">
        <f>(E50+E49)*$D$16</f>
        <v/>
      </c>
      <c r="F55" s="27">
        <f>(F50+F49)*$D$16</f>
        <v/>
      </c>
      <c r="G55" s="27">
        <f>(G50+G49)*$D$16</f>
        <v/>
      </c>
      <c r="H55" s="27">
        <f>(H50+H49)*$D$16</f>
        <v/>
      </c>
      <c r="I55" s="27">
        <f>(I50+I49)*$D$16</f>
        <v/>
      </c>
      <c r="J55" s="27">
        <f>(J50+J49)*$D$16</f>
        <v/>
      </c>
      <c r="K55" s="27">
        <f>(K50+K49)*$D$16</f>
        <v/>
      </c>
      <c r="L55" s="27">
        <f>(L50+L49)*$D$16</f>
        <v/>
      </c>
      <c r="M55" s="27">
        <f>(M50+M49)*$D$16</f>
        <v/>
      </c>
      <c r="N55" s="27">
        <f>(N50+N49)*$D$16</f>
        <v/>
      </c>
      <c r="O55" s="27">
        <f>(O50+O49)*$D$16</f>
        <v/>
      </c>
      <c r="P55" s="27">
        <f>(P50+P49)*$D$16</f>
        <v/>
      </c>
      <c r="Q55" s="27">
        <f>(Q50+Q49)*$D$16</f>
        <v/>
      </c>
      <c r="R55" s="27">
        <f>(R50+R49)*$D$16</f>
        <v/>
      </c>
      <c r="S55" s="27">
        <f>(S50+S49)*$D$16</f>
        <v/>
      </c>
      <c r="T55" s="27">
        <f>(T50+T49)*$D$16</f>
        <v/>
      </c>
      <c r="U55" s="27">
        <f>(U50+U49)*$D$16</f>
        <v/>
      </c>
      <c r="V55" s="27">
        <f>(V50+V49)*$D$16</f>
        <v/>
      </c>
      <c r="W55" s="27">
        <f>(W50+W49)*$D$16</f>
        <v/>
      </c>
      <c r="X55" s="27">
        <f>(X50+X49)*$D$16</f>
        <v/>
      </c>
      <c r="Y55" s="27">
        <f>(Y50+Y49)*$D$16</f>
        <v/>
      </c>
      <c r="Z55" s="27">
        <f>(Z50+Z49)*$D$16</f>
        <v/>
      </c>
      <c r="AA55" s="27">
        <f>(AA50+AA49)*$D$16</f>
        <v/>
      </c>
      <c r="AB55" s="27">
        <f>(AB50+AB49)*$D$16</f>
        <v/>
      </c>
      <c r="AC55" s="27">
        <f>(AC50+AC49)*$D$16</f>
        <v/>
      </c>
      <c r="AD55" s="27">
        <f>(AD50+AD49)*$D$16</f>
        <v/>
      </c>
      <c r="AE55" s="27">
        <f>(AE50+AE49)*$D$16</f>
        <v/>
      </c>
      <c r="AF55" s="27">
        <f>(AF50+AF49)*$D$16</f>
        <v/>
      </c>
      <c r="AG55" s="27">
        <f>(AG50+AG49)*$D$16</f>
        <v/>
      </c>
      <c r="AH55" s="27">
        <f>(AH50+AH49)*$D$16</f>
        <v/>
      </c>
      <c r="AI55" s="27">
        <f>(AI50+AI49)*$D$16</f>
        <v/>
      </c>
      <c r="AJ55" s="27">
        <f>(AJ50+AJ49)*$D$16</f>
        <v/>
      </c>
      <c r="AK55" s="27">
        <f>(AK50+AK49)*$D$16</f>
        <v/>
      </c>
      <c r="AL55" s="27">
        <f>(AL50+AL49)*$D$16</f>
        <v/>
      </c>
      <c r="AM55" s="27">
        <f>(AM50+AM49)*$D$16</f>
        <v/>
      </c>
      <c r="AN55" s="27">
        <f>(AN50+AN49)*$D$16</f>
        <v/>
      </c>
      <c r="AO55" s="27">
        <f>(AO50+AO49)*$D$16</f>
        <v/>
      </c>
      <c r="AP55" s="27">
        <f>(AP50+AP49)*$D$16</f>
        <v/>
      </c>
      <c r="AQ55" s="27">
        <f>(AQ50+AQ49)*$D$16</f>
        <v/>
      </c>
      <c r="AR55" s="27">
        <f>(AR50+AR49)*$D$16</f>
        <v/>
      </c>
      <c r="AS55" s="27">
        <f>(AS50+AS49)*$D$16</f>
        <v/>
      </c>
      <c r="AT55" s="27">
        <f>(AT50+AT49)*$D$16</f>
        <v/>
      </c>
      <c r="AU55" s="27">
        <f>(AU50+AU49)*$D$16</f>
        <v/>
      </c>
      <c r="AV55" s="27">
        <f>(AV50+AV49)*$D$16</f>
        <v/>
      </c>
      <c r="AW55" s="27">
        <f>(AW50+AW49)*$D$16</f>
        <v/>
      </c>
      <c r="AX55" s="27">
        <f>(AX50+AX49)*$D$16</f>
        <v/>
      </c>
      <c r="AY55" s="27">
        <f>(AY50+AY49)*$D$16</f>
        <v/>
      </c>
      <c r="AZ55" s="27">
        <f>(AZ50+AZ49)*$D$16</f>
        <v/>
      </c>
      <c r="BA55" s="27">
        <f>(BA50+BA49)*$D$16</f>
        <v/>
      </c>
      <c r="BB55" s="27">
        <f>(BB50+BB49)*$D$16</f>
        <v/>
      </c>
    </row>
    <row r="56">
      <c r="A56" s="4" t="inlineStr">
        <is>
          <t xml:space="preserve">   = carried in + ALL of this week's harvest, before any of it ships</t>
        </is>
      </c>
    </row>
    <row r="57">
      <c r="A57" s="21" t="inlineStr">
        <is>
          <t>Over shelf life?</t>
        </is>
      </c>
      <c r="B57" s="4" t="inlineStr">
        <is>
          <t>lb</t>
        </is>
      </c>
      <c r="C57" s="23">
        <f>MAX(0,C54-SUMIFS($C$49:$BB$49,$C$26:$BB$26,"&gt;="&amp;C$26-$F$16+2,$C$26:$BB$26,"&lt;="&amp;C$26))</f>
        <v/>
      </c>
      <c r="D57" s="23">
        <f>MAX(0,D54-SUMIFS($C$49:$BB$49,$C$26:$BB$26,"&gt;="&amp;D$26-$F$16+2,$C$26:$BB$26,"&lt;="&amp;D$26))</f>
        <v/>
      </c>
      <c r="E57" s="23">
        <f>MAX(0,E54-SUMIFS($C$49:$BB$49,$C$26:$BB$26,"&gt;="&amp;E$26-$F$16+2,$C$26:$BB$26,"&lt;="&amp;E$26))</f>
        <v/>
      </c>
      <c r="F57" s="23">
        <f>MAX(0,F54-SUMIFS($C$49:$BB$49,$C$26:$BB$26,"&gt;="&amp;F$26-$F$16+2,$C$26:$BB$26,"&lt;="&amp;F$26))</f>
        <v/>
      </c>
      <c r="G57" s="23">
        <f>MAX(0,G54-SUMIFS($C$49:$BB$49,$C$26:$BB$26,"&gt;="&amp;G$26-$F$16+2,$C$26:$BB$26,"&lt;="&amp;G$26))</f>
        <v/>
      </c>
      <c r="H57" s="23">
        <f>MAX(0,H54-SUMIFS($C$49:$BB$49,$C$26:$BB$26,"&gt;="&amp;H$26-$F$16+2,$C$26:$BB$26,"&lt;="&amp;H$26))</f>
        <v/>
      </c>
      <c r="I57" s="23">
        <f>MAX(0,I54-SUMIFS($C$49:$BB$49,$C$26:$BB$26,"&gt;="&amp;I$26-$F$16+2,$C$26:$BB$26,"&lt;="&amp;I$26))</f>
        <v/>
      </c>
      <c r="J57" s="23">
        <f>MAX(0,J54-SUMIFS($C$49:$BB$49,$C$26:$BB$26,"&gt;="&amp;J$26-$F$16+2,$C$26:$BB$26,"&lt;="&amp;J$26))</f>
        <v/>
      </c>
      <c r="K57" s="23">
        <f>MAX(0,K54-SUMIFS($C$49:$BB$49,$C$26:$BB$26,"&gt;="&amp;K$26-$F$16+2,$C$26:$BB$26,"&lt;="&amp;K$26))</f>
        <v/>
      </c>
      <c r="L57" s="23">
        <f>MAX(0,L54-SUMIFS($C$49:$BB$49,$C$26:$BB$26,"&gt;="&amp;L$26-$F$16+2,$C$26:$BB$26,"&lt;="&amp;L$26))</f>
        <v/>
      </c>
      <c r="M57" s="23">
        <f>MAX(0,M54-SUMIFS($C$49:$BB$49,$C$26:$BB$26,"&gt;="&amp;M$26-$F$16+2,$C$26:$BB$26,"&lt;="&amp;M$26))</f>
        <v/>
      </c>
      <c r="N57" s="23">
        <f>MAX(0,N54-SUMIFS($C$49:$BB$49,$C$26:$BB$26,"&gt;="&amp;N$26-$F$16+2,$C$26:$BB$26,"&lt;="&amp;N$26))</f>
        <v/>
      </c>
      <c r="O57" s="23">
        <f>MAX(0,O54-SUMIFS($C$49:$BB$49,$C$26:$BB$26,"&gt;="&amp;O$26-$F$16+2,$C$26:$BB$26,"&lt;="&amp;O$26))</f>
        <v/>
      </c>
      <c r="P57" s="23">
        <f>MAX(0,P54-SUMIFS($C$49:$BB$49,$C$26:$BB$26,"&gt;="&amp;P$26-$F$16+2,$C$26:$BB$26,"&lt;="&amp;P$26))</f>
        <v/>
      </c>
      <c r="Q57" s="23">
        <f>MAX(0,Q54-SUMIFS($C$49:$BB$49,$C$26:$BB$26,"&gt;="&amp;Q$26-$F$16+2,$C$26:$BB$26,"&lt;="&amp;Q$26))</f>
        <v/>
      </c>
      <c r="R57" s="23">
        <f>MAX(0,R54-SUMIFS($C$49:$BB$49,$C$26:$BB$26,"&gt;="&amp;R$26-$F$16+2,$C$26:$BB$26,"&lt;="&amp;R$26))</f>
        <v/>
      </c>
      <c r="S57" s="23">
        <f>MAX(0,S54-SUMIFS($C$49:$BB$49,$C$26:$BB$26,"&gt;="&amp;S$26-$F$16+2,$C$26:$BB$26,"&lt;="&amp;S$26))</f>
        <v/>
      </c>
      <c r="T57" s="23">
        <f>MAX(0,T54-SUMIFS($C$49:$BB$49,$C$26:$BB$26,"&gt;="&amp;T$26-$F$16+2,$C$26:$BB$26,"&lt;="&amp;T$26))</f>
        <v/>
      </c>
      <c r="U57" s="23">
        <f>MAX(0,U54-SUMIFS($C$49:$BB$49,$C$26:$BB$26,"&gt;="&amp;U$26-$F$16+2,$C$26:$BB$26,"&lt;="&amp;U$26))</f>
        <v/>
      </c>
      <c r="V57" s="23">
        <f>MAX(0,V54-SUMIFS($C$49:$BB$49,$C$26:$BB$26,"&gt;="&amp;V$26-$F$16+2,$C$26:$BB$26,"&lt;="&amp;V$26))</f>
        <v/>
      </c>
      <c r="W57" s="23">
        <f>MAX(0,W54-SUMIFS($C$49:$BB$49,$C$26:$BB$26,"&gt;="&amp;W$26-$F$16+2,$C$26:$BB$26,"&lt;="&amp;W$26))</f>
        <v/>
      </c>
      <c r="X57" s="23">
        <f>MAX(0,X54-SUMIFS($C$49:$BB$49,$C$26:$BB$26,"&gt;="&amp;X$26-$F$16+2,$C$26:$BB$26,"&lt;="&amp;X$26))</f>
        <v/>
      </c>
      <c r="Y57" s="23">
        <f>MAX(0,Y54-SUMIFS($C$49:$BB$49,$C$26:$BB$26,"&gt;="&amp;Y$26-$F$16+2,$C$26:$BB$26,"&lt;="&amp;Y$26))</f>
        <v/>
      </c>
      <c r="Z57" s="23">
        <f>MAX(0,Z54-SUMIFS($C$49:$BB$49,$C$26:$BB$26,"&gt;="&amp;Z$26-$F$16+2,$C$26:$BB$26,"&lt;="&amp;Z$26))</f>
        <v/>
      </c>
      <c r="AA57" s="23">
        <f>MAX(0,AA54-SUMIFS($C$49:$BB$49,$C$26:$BB$26,"&gt;="&amp;AA$26-$F$16+2,$C$26:$BB$26,"&lt;="&amp;AA$26))</f>
        <v/>
      </c>
      <c r="AB57" s="23">
        <f>MAX(0,AB54-SUMIFS($C$49:$BB$49,$C$26:$BB$26,"&gt;="&amp;AB$26-$F$16+2,$C$26:$BB$26,"&lt;="&amp;AB$26))</f>
        <v/>
      </c>
      <c r="AC57" s="23">
        <f>MAX(0,AC54-SUMIFS($C$49:$BB$49,$C$26:$BB$26,"&gt;="&amp;AC$26-$F$16+2,$C$26:$BB$26,"&lt;="&amp;AC$26))</f>
        <v/>
      </c>
      <c r="AD57" s="23">
        <f>MAX(0,AD54-SUMIFS($C$49:$BB$49,$C$26:$BB$26,"&gt;="&amp;AD$26-$F$16+2,$C$26:$BB$26,"&lt;="&amp;AD$26))</f>
        <v/>
      </c>
      <c r="AE57" s="23">
        <f>MAX(0,AE54-SUMIFS($C$49:$BB$49,$C$26:$BB$26,"&gt;="&amp;AE$26-$F$16+2,$C$26:$BB$26,"&lt;="&amp;AE$26))</f>
        <v/>
      </c>
      <c r="AF57" s="23">
        <f>MAX(0,AF54-SUMIFS($C$49:$BB$49,$C$26:$BB$26,"&gt;="&amp;AF$26-$F$16+2,$C$26:$BB$26,"&lt;="&amp;AF$26))</f>
        <v/>
      </c>
      <c r="AG57" s="23">
        <f>MAX(0,AG54-SUMIFS($C$49:$BB$49,$C$26:$BB$26,"&gt;="&amp;AG$26-$F$16+2,$C$26:$BB$26,"&lt;="&amp;AG$26))</f>
        <v/>
      </c>
      <c r="AH57" s="23">
        <f>MAX(0,AH54-SUMIFS($C$49:$BB$49,$C$26:$BB$26,"&gt;="&amp;AH$26-$F$16+2,$C$26:$BB$26,"&lt;="&amp;AH$26))</f>
        <v/>
      </c>
      <c r="AI57" s="23">
        <f>MAX(0,AI54-SUMIFS($C$49:$BB$49,$C$26:$BB$26,"&gt;="&amp;AI$26-$F$16+2,$C$26:$BB$26,"&lt;="&amp;AI$26))</f>
        <v/>
      </c>
      <c r="AJ57" s="23">
        <f>MAX(0,AJ54-SUMIFS($C$49:$BB$49,$C$26:$BB$26,"&gt;="&amp;AJ$26-$F$16+2,$C$26:$BB$26,"&lt;="&amp;AJ$26))</f>
        <v/>
      </c>
      <c r="AK57" s="23">
        <f>MAX(0,AK54-SUMIFS($C$49:$BB$49,$C$26:$BB$26,"&gt;="&amp;AK$26-$F$16+2,$C$26:$BB$26,"&lt;="&amp;AK$26))</f>
        <v/>
      </c>
      <c r="AL57" s="23">
        <f>MAX(0,AL54-SUMIFS($C$49:$BB$49,$C$26:$BB$26,"&gt;="&amp;AL$26-$F$16+2,$C$26:$BB$26,"&lt;="&amp;AL$26))</f>
        <v/>
      </c>
      <c r="AM57" s="23">
        <f>MAX(0,AM54-SUMIFS($C$49:$BB$49,$C$26:$BB$26,"&gt;="&amp;AM$26-$F$16+2,$C$26:$BB$26,"&lt;="&amp;AM$26))</f>
        <v/>
      </c>
      <c r="AN57" s="23">
        <f>MAX(0,AN54-SUMIFS($C$49:$BB$49,$C$26:$BB$26,"&gt;="&amp;AN$26-$F$16+2,$C$26:$BB$26,"&lt;="&amp;AN$26))</f>
        <v/>
      </c>
      <c r="AO57" s="23">
        <f>MAX(0,AO54-SUMIFS($C$49:$BB$49,$C$26:$BB$26,"&gt;="&amp;AO$26-$F$16+2,$C$26:$BB$26,"&lt;="&amp;AO$26))</f>
        <v/>
      </c>
      <c r="AP57" s="23">
        <f>MAX(0,AP54-SUMIFS($C$49:$BB$49,$C$26:$BB$26,"&gt;="&amp;AP$26-$F$16+2,$C$26:$BB$26,"&lt;="&amp;AP$26))</f>
        <v/>
      </c>
      <c r="AQ57" s="23">
        <f>MAX(0,AQ54-SUMIFS($C$49:$BB$49,$C$26:$BB$26,"&gt;="&amp;AQ$26-$F$16+2,$C$26:$BB$26,"&lt;="&amp;AQ$26))</f>
        <v/>
      </c>
      <c r="AR57" s="23">
        <f>MAX(0,AR54-SUMIFS($C$49:$BB$49,$C$26:$BB$26,"&gt;="&amp;AR$26-$F$16+2,$C$26:$BB$26,"&lt;="&amp;AR$26))</f>
        <v/>
      </c>
      <c r="AS57" s="23">
        <f>MAX(0,AS54-SUMIFS($C$49:$BB$49,$C$26:$BB$26,"&gt;="&amp;AS$26-$F$16+2,$C$26:$BB$26,"&lt;="&amp;AS$26))</f>
        <v/>
      </c>
      <c r="AT57" s="23">
        <f>MAX(0,AT54-SUMIFS($C$49:$BB$49,$C$26:$BB$26,"&gt;="&amp;AT$26-$F$16+2,$C$26:$BB$26,"&lt;="&amp;AT$26))</f>
        <v/>
      </c>
      <c r="AU57" s="23">
        <f>MAX(0,AU54-SUMIFS($C$49:$BB$49,$C$26:$BB$26,"&gt;="&amp;AU$26-$F$16+2,$C$26:$BB$26,"&lt;="&amp;AU$26))</f>
        <v/>
      </c>
      <c r="AV57" s="23">
        <f>MAX(0,AV54-SUMIFS($C$49:$BB$49,$C$26:$BB$26,"&gt;="&amp;AV$26-$F$16+2,$C$26:$BB$26,"&lt;="&amp;AV$26))</f>
        <v/>
      </c>
      <c r="AW57" s="23">
        <f>MAX(0,AW54-SUMIFS($C$49:$BB$49,$C$26:$BB$26,"&gt;="&amp;AW$26-$F$16+2,$C$26:$BB$26,"&lt;="&amp;AW$26))</f>
        <v/>
      </c>
      <c r="AX57" s="23">
        <f>MAX(0,AX54-SUMIFS($C$49:$BB$49,$C$26:$BB$26,"&gt;="&amp;AX$26-$F$16+2,$C$26:$BB$26,"&lt;="&amp;AX$26))</f>
        <v/>
      </c>
      <c r="AY57" s="23">
        <f>MAX(0,AY54-SUMIFS($C$49:$BB$49,$C$26:$BB$26,"&gt;="&amp;AY$26-$F$16+2,$C$26:$BB$26,"&lt;="&amp;AY$26))</f>
        <v/>
      </c>
      <c r="AZ57" s="23">
        <f>MAX(0,AZ54-SUMIFS($C$49:$BB$49,$C$26:$BB$26,"&gt;="&amp;AZ$26-$F$16+2,$C$26:$BB$26,"&lt;="&amp;AZ$26))</f>
        <v/>
      </c>
      <c r="BA57" s="23">
        <f>MAX(0,BA54-SUMIFS($C$49:$BB$49,$C$26:$BB$26,"&gt;="&amp;BA$26-$F$16+2,$C$26:$BB$26,"&lt;="&amp;BA$26))</f>
        <v/>
      </c>
      <c r="BB57" s="23">
        <f>MAX(0,BB54-SUMIFS($C$49:$BB$49,$C$26:$BB$26,"&gt;="&amp;BB$26-$F$16+2,$C$26:$BB$26,"&lt;="&amp;BB$26))</f>
        <v/>
      </c>
    </row>
    <row r="58">
      <c r="A58" s="4" t="inlineStr">
        <is>
          <t xml:space="preserve">   stock older than its shelf life — a WARNING here, a hard constraint in the app</t>
        </is>
      </c>
    </row>
    <row r="60">
      <c r="A60" s="2" t="inlineStr">
        <is>
          <t>KALE  —  cold store</t>
        </is>
      </c>
      <c r="B60" s="26" t="inlineStr"/>
    </row>
    <row r="61">
      <c r="A61" s="18" t="inlineStr">
        <is>
          <t>Week</t>
        </is>
      </c>
      <c r="B61" s="19" t="inlineStr"/>
      <c r="C61" s="20" t="n">
        <v>1</v>
      </c>
      <c r="D61" s="20" t="n">
        <v>2</v>
      </c>
      <c r="E61" s="20" t="n">
        <v>3</v>
      </c>
      <c r="F61" s="20" t="n">
        <v>4</v>
      </c>
      <c r="G61" s="20" t="n">
        <v>5</v>
      </c>
      <c r="H61" s="20" t="n">
        <v>6</v>
      </c>
      <c r="I61" s="20" t="n">
        <v>7</v>
      </c>
      <c r="J61" s="20" t="n">
        <v>8</v>
      </c>
      <c r="K61" s="20" t="n">
        <v>9</v>
      </c>
      <c r="L61" s="20" t="n">
        <v>10</v>
      </c>
      <c r="M61" s="20" t="n">
        <v>11</v>
      </c>
      <c r="N61" s="20" t="n">
        <v>12</v>
      </c>
      <c r="O61" s="20" t="n">
        <v>13</v>
      </c>
      <c r="P61" s="20" t="n">
        <v>14</v>
      </c>
      <c r="Q61" s="20" t="n">
        <v>15</v>
      </c>
      <c r="R61" s="20" t="n">
        <v>16</v>
      </c>
      <c r="S61" s="20" t="n">
        <v>17</v>
      </c>
      <c r="T61" s="20" t="n">
        <v>18</v>
      </c>
      <c r="U61" s="20" t="n">
        <v>19</v>
      </c>
      <c r="V61" s="20" t="n">
        <v>20</v>
      </c>
      <c r="W61" s="20" t="n">
        <v>21</v>
      </c>
      <c r="X61" s="20" t="n">
        <v>22</v>
      </c>
      <c r="Y61" s="20" t="n">
        <v>23</v>
      </c>
      <c r="Z61" s="20" t="n">
        <v>24</v>
      </c>
      <c r="AA61" s="20" t="n">
        <v>25</v>
      </c>
      <c r="AB61" s="20" t="n">
        <v>26</v>
      </c>
      <c r="AC61" s="20" t="n">
        <v>27</v>
      </c>
      <c r="AD61" s="20" t="n">
        <v>28</v>
      </c>
      <c r="AE61" s="20" t="n">
        <v>29</v>
      </c>
      <c r="AF61" s="20" t="n">
        <v>30</v>
      </c>
      <c r="AG61" s="20" t="n">
        <v>31</v>
      </c>
      <c r="AH61" s="20" t="n">
        <v>32</v>
      </c>
      <c r="AI61" s="20" t="n">
        <v>33</v>
      </c>
      <c r="AJ61" s="20" t="n">
        <v>34</v>
      </c>
      <c r="AK61" s="20" t="n">
        <v>35</v>
      </c>
      <c r="AL61" s="20" t="n">
        <v>36</v>
      </c>
      <c r="AM61" s="20" t="n">
        <v>37</v>
      </c>
      <c r="AN61" s="20" t="n">
        <v>38</v>
      </c>
      <c r="AO61" s="20" t="n">
        <v>39</v>
      </c>
      <c r="AP61" s="20" t="n">
        <v>40</v>
      </c>
      <c r="AQ61" s="20" t="n">
        <v>41</v>
      </c>
      <c r="AR61" s="20" t="n">
        <v>42</v>
      </c>
      <c r="AS61" s="20" t="n">
        <v>43</v>
      </c>
      <c r="AT61" s="20" t="n">
        <v>44</v>
      </c>
      <c r="AU61" s="20" t="n">
        <v>45</v>
      </c>
      <c r="AV61" s="20" t="n">
        <v>46</v>
      </c>
      <c r="AW61" s="20" t="n">
        <v>47</v>
      </c>
      <c r="AX61" s="20" t="n">
        <v>48</v>
      </c>
      <c r="AY61" s="20" t="n">
        <v>49</v>
      </c>
      <c r="AZ61" s="20" t="n">
        <v>50</v>
      </c>
      <c r="BA61" s="20" t="n">
        <v>51</v>
      </c>
      <c r="BB61" s="20" t="n">
        <v>52</v>
      </c>
    </row>
    <row r="62">
      <c r="A62" s="21" t="inlineStr">
        <is>
          <t>Harvested this week</t>
        </is>
      </c>
      <c r="B62" s="4" t="inlineStr">
        <is>
          <t>lb</t>
        </is>
      </c>
      <c r="C62" s="23">
        <f>C33+C35</f>
        <v/>
      </c>
      <c r="D62" s="23">
        <f>D33+D35</f>
        <v/>
      </c>
      <c r="E62" s="23">
        <f>E33+E35</f>
        <v/>
      </c>
      <c r="F62" s="23">
        <f>F33+F35</f>
        <v/>
      </c>
      <c r="G62" s="23">
        <f>G33+G35</f>
        <v/>
      </c>
      <c r="H62" s="23">
        <f>H33+H35</f>
        <v/>
      </c>
      <c r="I62" s="23">
        <f>I33+I35</f>
        <v/>
      </c>
      <c r="J62" s="23">
        <f>J33+J35</f>
        <v/>
      </c>
      <c r="K62" s="23">
        <f>K33+K35</f>
        <v/>
      </c>
      <c r="L62" s="23">
        <f>L33+L35</f>
        <v/>
      </c>
      <c r="M62" s="23">
        <f>M33+M35</f>
        <v/>
      </c>
      <c r="N62" s="23">
        <f>N33+N35</f>
        <v/>
      </c>
      <c r="O62" s="23">
        <f>O33+O35</f>
        <v/>
      </c>
      <c r="P62" s="23">
        <f>P33+P35</f>
        <v/>
      </c>
      <c r="Q62" s="23">
        <f>Q33+Q35</f>
        <v/>
      </c>
      <c r="R62" s="23">
        <f>R33+R35</f>
        <v/>
      </c>
      <c r="S62" s="23">
        <f>S33+S35</f>
        <v/>
      </c>
      <c r="T62" s="23">
        <f>T33+T35</f>
        <v/>
      </c>
      <c r="U62" s="23">
        <f>U33+U35</f>
        <v/>
      </c>
      <c r="V62" s="23">
        <f>V33+V35</f>
        <v/>
      </c>
      <c r="W62" s="23">
        <f>W33+W35</f>
        <v/>
      </c>
      <c r="X62" s="23">
        <f>X33+X35</f>
        <v/>
      </c>
      <c r="Y62" s="23">
        <f>Y33+Y35</f>
        <v/>
      </c>
      <c r="Z62" s="23">
        <f>Z33+Z35</f>
        <v/>
      </c>
      <c r="AA62" s="23">
        <f>AA33+AA35</f>
        <v/>
      </c>
      <c r="AB62" s="23">
        <f>AB33+AB35</f>
        <v/>
      </c>
      <c r="AC62" s="23">
        <f>AC33+AC35</f>
        <v/>
      </c>
      <c r="AD62" s="23">
        <f>AD33+AD35</f>
        <v/>
      </c>
      <c r="AE62" s="23">
        <f>AE33+AE35</f>
        <v/>
      </c>
      <c r="AF62" s="23">
        <f>AF33+AF35</f>
        <v/>
      </c>
      <c r="AG62" s="23">
        <f>AG33+AG35</f>
        <v/>
      </c>
      <c r="AH62" s="23">
        <f>AH33+AH35</f>
        <v/>
      </c>
      <c r="AI62" s="23">
        <f>AI33+AI35</f>
        <v/>
      </c>
      <c r="AJ62" s="23">
        <f>AJ33+AJ35</f>
        <v/>
      </c>
      <c r="AK62" s="23">
        <f>AK33+AK35</f>
        <v/>
      </c>
      <c r="AL62" s="23">
        <f>AL33+AL35</f>
        <v/>
      </c>
      <c r="AM62" s="23">
        <f>AM33+AM35</f>
        <v/>
      </c>
      <c r="AN62" s="23">
        <f>AN33+AN35</f>
        <v/>
      </c>
      <c r="AO62" s="23">
        <f>AO33+AO35</f>
        <v/>
      </c>
      <c r="AP62" s="23">
        <f>AP33+AP35</f>
        <v/>
      </c>
      <c r="AQ62" s="23">
        <f>AQ33+AQ35</f>
        <v/>
      </c>
      <c r="AR62" s="23">
        <f>AR33+AR35</f>
        <v/>
      </c>
      <c r="AS62" s="23">
        <f>AS33+AS35</f>
        <v/>
      </c>
      <c r="AT62" s="23">
        <f>AT33+AT35</f>
        <v/>
      </c>
      <c r="AU62" s="23">
        <f>AU33+AU35</f>
        <v/>
      </c>
      <c r="AV62" s="23">
        <f>AV33+AV35</f>
        <v/>
      </c>
      <c r="AW62" s="23">
        <f>AW33+AW35</f>
        <v/>
      </c>
      <c r="AX62" s="23">
        <f>AX33+AX35</f>
        <v/>
      </c>
      <c r="AY62" s="23">
        <f>AY33+AY35</f>
        <v/>
      </c>
      <c r="AZ62" s="23">
        <f>AZ33+AZ35</f>
        <v/>
      </c>
      <c r="BA62" s="23">
        <f>BA33+BA35</f>
        <v/>
      </c>
      <c r="BB62" s="23">
        <f>BB33+BB35</f>
        <v/>
      </c>
    </row>
    <row r="63">
      <c r="A63" s="21" t="inlineStr">
        <is>
          <t>Stock carried in</t>
        </is>
      </c>
      <c r="B63" s="4" t="inlineStr">
        <is>
          <t>lb</t>
        </is>
      </c>
      <c r="C63" s="23" t="n">
        <v>0</v>
      </c>
      <c r="D63" s="23">
        <f>C67</f>
        <v/>
      </c>
      <c r="E63" s="23">
        <f>D67</f>
        <v/>
      </c>
      <c r="F63" s="23">
        <f>E67</f>
        <v/>
      </c>
      <c r="G63" s="23">
        <f>F67</f>
        <v/>
      </c>
      <c r="H63" s="23">
        <f>G67</f>
        <v/>
      </c>
      <c r="I63" s="23">
        <f>H67</f>
        <v/>
      </c>
      <c r="J63" s="23">
        <f>I67</f>
        <v/>
      </c>
      <c r="K63" s="23">
        <f>J67</f>
        <v/>
      </c>
      <c r="L63" s="23">
        <f>K67</f>
        <v/>
      </c>
      <c r="M63" s="23">
        <f>L67</f>
        <v/>
      </c>
      <c r="N63" s="23">
        <f>M67</f>
        <v/>
      </c>
      <c r="O63" s="23">
        <f>N67</f>
        <v/>
      </c>
      <c r="P63" s="23">
        <f>O67</f>
        <v/>
      </c>
      <c r="Q63" s="23">
        <f>P67</f>
        <v/>
      </c>
      <c r="R63" s="23">
        <f>Q67</f>
        <v/>
      </c>
      <c r="S63" s="23">
        <f>R67</f>
        <v/>
      </c>
      <c r="T63" s="23">
        <f>S67</f>
        <v/>
      </c>
      <c r="U63" s="23">
        <f>T67</f>
        <v/>
      </c>
      <c r="V63" s="23">
        <f>U67</f>
        <v/>
      </c>
      <c r="W63" s="23">
        <f>V67</f>
        <v/>
      </c>
      <c r="X63" s="23">
        <f>W67</f>
        <v/>
      </c>
      <c r="Y63" s="23">
        <f>X67</f>
        <v/>
      </c>
      <c r="Z63" s="23">
        <f>Y67</f>
        <v/>
      </c>
      <c r="AA63" s="23">
        <f>Z67</f>
        <v/>
      </c>
      <c r="AB63" s="23">
        <f>AA67</f>
        <v/>
      </c>
      <c r="AC63" s="23">
        <f>AB67</f>
        <v/>
      </c>
      <c r="AD63" s="23">
        <f>AC67</f>
        <v/>
      </c>
      <c r="AE63" s="23">
        <f>AD67</f>
        <v/>
      </c>
      <c r="AF63" s="23">
        <f>AE67</f>
        <v/>
      </c>
      <c r="AG63" s="23">
        <f>AF67</f>
        <v/>
      </c>
      <c r="AH63" s="23">
        <f>AG67</f>
        <v/>
      </c>
      <c r="AI63" s="23">
        <f>AH67</f>
        <v/>
      </c>
      <c r="AJ63" s="23">
        <f>AI67</f>
        <v/>
      </c>
      <c r="AK63" s="23">
        <f>AJ67</f>
        <v/>
      </c>
      <c r="AL63" s="23">
        <f>AK67</f>
        <v/>
      </c>
      <c r="AM63" s="23">
        <f>AL67</f>
        <v/>
      </c>
      <c r="AN63" s="23">
        <f>AM67</f>
        <v/>
      </c>
      <c r="AO63" s="23">
        <f>AN67</f>
        <v/>
      </c>
      <c r="AP63" s="23">
        <f>AO67</f>
        <v/>
      </c>
      <c r="AQ63" s="23">
        <f>AP67</f>
        <v/>
      </c>
      <c r="AR63" s="23">
        <f>AQ67</f>
        <v/>
      </c>
      <c r="AS63" s="23">
        <f>AR67</f>
        <v/>
      </c>
      <c r="AT63" s="23">
        <f>AS67</f>
        <v/>
      </c>
      <c r="AU63" s="23">
        <f>AT67</f>
        <v/>
      </c>
      <c r="AV63" s="23">
        <f>AU67</f>
        <v/>
      </c>
      <c r="AW63" s="23">
        <f>AV67</f>
        <v/>
      </c>
      <c r="AX63" s="23">
        <f>AW67</f>
        <v/>
      </c>
      <c r="AY63" s="23">
        <f>AX67</f>
        <v/>
      </c>
      <c r="AZ63" s="23">
        <f>AY67</f>
        <v/>
      </c>
      <c r="BA63" s="23">
        <f>AZ67</f>
        <v/>
      </c>
      <c r="BB63" s="23">
        <f>BA67</f>
        <v/>
      </c>
    </row>
    <row r="64">
      <c r="A64" s="21" t="inlineStr">
        <is>
          <t xml:space="preserve">   lost to shrink</t>
        </is>
      </c>
      <c r="B64" s="4" t="inlineStr">
        <is>
          <t>lb</t>
        </is>
      </c>
      <c r="C64" s="23">
        <f>C63*$G$17</f>
        <v/>
      </c>
      <c r="D64" s="23">
        <f>D63*$G$17</f>
        <v/>
      </c>
      <c r="E64" s="23">
        <f>E63*$G$17</f>
        <v/>
      </c>
      <c r="F64" s="23">
        <f>F63*$G$17</f>
        <v/>
      </c>
      <c r="G64" s="23">
        <f>G63*$G$17</f>
        <v/>
      </c>
      <c r="H64" s="23">
        <f>H63*$G$17</f>
        <v/>
      </c>
      <c r="I64" s="23">
        <f>I63*$G$17</f>
        <v/>
      </c>
      <c r="J64" s="23">
        <f>J63*$G$17</f>
        <v/>
      </c>
      <c r="K64" s="23">
        <f>K63*$G$17</f>
        <v/>
      </c>
      <c r="L64" s="23">
        <f>L63*$G$17</f>
        <v/>
      </c>
      <c r="M64" s="23">
        <f>M63*$G$17</f>
        <v/>
      </c>
      <c r="N64" s="23">
        <f>N63*$G$17</f>
        <v/>
      </c>
      <c r="O64" s="23">
        <f>O63*$G$17</f>
        <v/>
      </c>
      <c r="P64" s="23">
        <f>P63*$G$17</f>
        <v/>
      </c>
      <c r="Q64" s="23">
        <f>Q63*$G$17</f>
        <v/>
      </c>
      <c r="R64" s="23">
        <f>R63*$G$17</f>
        <v/>
      </c>
      <c r="S64" s="23">
        <f>S63*$G$17</f>
        <v/>
      </c>
      <c r="T64" s="23">
        <f>T63*$G$17</f>
        <v/>
      </c>
      <c r="U64" s="23">
        <f>U63*$G$17</f>
        <v/>
      </c>
      <c r="V64" s="23">
        <f>V63*$G$17</f>
        <v/>
      </c>
      <c r="W64" s="23">
        <f>W63*$G$17</f>
        <v/>
      </c>
      <c r="X64" s="23">
        <f>X63*$G$17</f>
        <v/>
      </c>
      <c r="Y64" s="23">
        <f>Y63*$G$17</f>
        <v/>
      </c>
      <c r="Z64" s="23">
        <f>Z63*$G$17</f>
        <v/>
      </c>
      <c r="AA64" s="23">
        <f>AA63*$G$17</f>
        <v/>
      </c>
      <c r="AB64" s="23">
        <f>AB63*$G$17</f>
        <v/>
      </c>
      <c r="AC64" s="23">
        <f>AC63*$G$17</f>
        <v/>
      </c>
      <c r="AD64" s="23">
        <f>AD63*$G$17</f>
        <v/>
      </c>
      <c r="AE64" s="23">
        <f>AE63*$G$17</f>
        <v/>
      </c>
      <c r="AF64" s="23">
        <f>AF63*$G$17</f>
        <v/>
      </c>
      <c r="AG64" s="23">
        <f>AG63*$G$17</f>
        <v/>
      </c>
      <c r="AH64" s="23">
        <f>AH63*$G$17</f>
        <v/>
      </c>
      <c r="AI64" s="23">
        <f>AI63*$G$17</f>
        <v/>
      </c>
      <c r="AJ64" s="23">
        <f>AJ63*$G$17</f>
        <v/>
      </c>
      <c r="AK64" s="23">
        <f>AK63*$G$17</f>
        <v/>
      </c>
      <c r="AL64" s="23">
        <f>AL63*$G$17</f>
        <v/>
      </c>
      <c r="AM64" s="23">
        <f>AM63*$G$17</f>
        <v/>
      </c>
      <c r="AN64" s="23">
        <f>AN63*$G$17</f>
        <v/>
      </c>
      <c r="AO64" s="23">
        <f>AO63*$G$17</f>
        <v/>
      </c>
      <c r="AP64" s="23">
        <f>AP63*$G$17</f>
        <v/>
      </c>
      <c r="AQ64" s="23">
        <f>AQ63*$G$17</f>
        <v/>
      </c>
      <c r="AR64" s="23">
        <f>AR63*$G$17</f>
        <v/>
      </c>
      <c r="AS64" s="23">
        <f>AS63*$G$17</f>
        <v/>
      </c>
      <c r="AT64" s="23">
        <f>AT63*$G$17</f>
        <v/>
      </c>
      <c r="AU64" s="23">
        <f>AU63*$G$17</f>
        <v/>
      </c>
      <c r="AV64" s="23">
        <f>AV63*$G$17</f>
        <v/>
      </c>
      <c r="AW64" s="23">
        <f>AW63*$G$17</f>
        <v/>
      </c>
      <c r="AX64" s="23">
        <f>AX63*$G$17</f>
        <v/>
      </c>
      <c r="AY64" s="23">
        <f>AY63*$G$17</f>
        <v/>
      </c>
      <c r="AZ64" s="23">
        <f>AZ63*$G$17</f>
        <v/>
      </c>
      <c r="BA64" s="23">
        <f>BA63*$G$17</f>
        <v/>
      </c>
      <c r="BB64" s="23">
        <f>BB63*$G$17</f>
        <v/>
      </c>
    </row>
    <row r="65">
      <c r="A65" s="21" t="inlineStr">
        <is>
          <t>Available to sell</t>
        </is>
      </c>
      <c r="B65" s="4" t="inlineStr">
        <is>
          <t>lb</t>
        </is>
      </c>
      <c r="C65" s="23">
        <f>C63-C64+C62</f>
        <v/>
      </c>
      <c r="D65" s="23">
        <f>D63-D64+D62</f>
        <v/>
      </c>
      <c r="E65" s="23">
        <f>E63-E64+E62</f>
        <v/>
      </c>
      <c r="F65" s="23">
        <f>F63-F64+F62</f>
        <v/>
      </c>
      <c r="G65" s="23">
        <f>G63-G64+G62</f>
        <v/>
      </c>
      <c r="H65" s="23">
        <f>H63-H64+H62</f>
        <v/>
      </c>
      <c r="I65" s="23">
        <f>I63-I64+I62</f>
        <v/>
      </c>
      <c r="J65" s="23">
        <f>J63-J64+J62</f>
        <v/>
      </c>
      <c r="K65" s="23">
        <f>K63-K64+K62</f>
        <v/>
      </c>
      <c r="L65" s="23">
        <f>L63-L64+L62</f>
        <v/>
      </c>
      <c r="M65" s="23">
        <f>M63-M64+M62</f>
        <v/>
      </c>
      <c r="N65" s="23">
        <f>N63-N64+N62</f>
        <v/>
      </c>
      <c r="O65" s="23">
        <f>O63-O64+O62</f>
        <v/>
      </c>
      <c r="P65" s="23">
        <f>P63-P64+P62</f>
        <v/>
      </c>
      <c r="Q65" s="23">
        <f>Q63-Q64+Q62</f>
        <v/>
      </c>
      <c r="R65" s="23">
        <f>R63-R64+R62</f>
        <v/>
      </c>
      <c r="S65" s="23">
        <f>S63-S64+S62</f>
        <v/>
      </c>
      <c r="T65" s="23">
        <f>T63-T64+T62</f>
        <v/>
      </c>
      <c r="U65" s="23">
        <f>U63-U64+U62</f>
        <v/>
      </c>
      <c r="V65" s="23">
        <f>V63-V64+V62</f>
        <v/>
      </c>
      <c r="W65" s="23">
        <f>W63-W64+W62</f>
        <v/>
      </c>
      <c r="X65" s="23">
        <f>X63-X64+X62</f>
        <v/>
      </c>
      <c r="Y65" s="23">
        <f>Y63-Y64+Y62</f>
        <v/>
      </c>
      <c r="Z65" s="23">
        <f>Z63-Z64+Z62</f>
        <v/>
      </c>
      <c r="AA65" s="23">
        <f>AA63-AA64+AA62</f>
        <v/>
      </c>
      <c r="AB65" s="23">
        <f>AB63-AB64+AB62</f>
        <v/>
      </c>
      <c r="AC65" s="23">
        <f>AC63-AC64+AC62</f>
        <v/>
      </c>
      <c r="AD65" s="23">
        <f>AD63-AD64+AD62</f>
        <v/>
      </c>
      <c r="AE65" s="23">
        <f>AE63-AE64+AE62</f>
        <v/>
      </c>
      <c r="AF65" s="23">
        <f>AF63-AF64+AF62</f>
        <v/>
      </c>
      <c r="AG65" s="23">
        <f>AG63-AG64+AG62</f>
        <v/>
      </c>
      <c r="AH65" s="23">
        <f>AH63-AH64+AH62</f>
        <v/>
      </c>
      <c r="AI65" s="23">
        <f>AI63-AI64+AI62</f>
        <v/>
      </c>
      <c r="AJ65" s="23">
        <f>AJ63-AJ64+AJ62</f>
        <v/>
      </c>
      <c r="AK65" s="23">
        <f>AK63-AK64+AK62</f>
        <v/>
      </c>
      <c r="AL65" s="23">
        <f>AL63-AL64+AL62</f>
        <v/>
      </c>
      <c r="AM65" s="23">
        <f>AM63-AM64+AM62</f>
        <v/>
      </c>
      <c r="AN65" s="23">
        <f>AN63-AN64+AN62</f>
        <v/>
      </c>
      <c r="AO65" s="23">
        <f>AO63-AO64+AO62</f>
        <v/>
      </c>
      <c r="AP65" s="23">
        <f>AP63-AP64+AP62</f>
        <v/>
      </c>
      <c r="AQ65" s="23">
        <f>AQ63-AQ64+AQ62</f>
        <v/>
      </c>
      <c r="AR65" s="23">
        <f>AR63-AR64+AR62</f>
        <v/>
      </c>
      <c r="AS65" s="23">
        <f>AS63-AS64+AS62</f>
        <v/>
      </c>
      <c r="AT65" s="23">
        <f>AT63-AT64+AT62</f>
        <v/>
      </c>
      <c r="AU65" s="23">
        <f>AU63-AU64+AU62</f>
        <v/>
      </c>
      <c r="AV65" s="23">
        <f>AV63-AV64+AV62</f>
        <v/>
      </c>
      <c r="AW65" s="23">
        <f>AW63-AW64+AW62</f>
        <v/>
      </c>
      <c r="AX65" s="23">
        <f>AX63-AX64+AX62</f>
        <v/>
      </c>
      <c r="AY65" s="23">
        <f>AY63-AY64+AY62</f>
        <v/>
      </c>
      <c r="AZ65" s="23">
        <f>AZ63-AZ64+AZ62</f>
        <v/>
      </c>
      <c r="BA65" s="23">
        <f>BA63-BA64+BA62</f>
        <v/>
      </c>
      <c r="BB65" s="23">
        <f>BB63-BB64+BB62</f>
        <v/>
      </c>
    </row>
    <row r="66">
      <c r="A66" s="21" t="inlineStr">
        <is>
          <t>Sold</t>
        </is>
      </c>
      <c r="B66" s="4" t="inlineStr">
        <is>
          <t>lb</t>
        </is>
      </c>
      <c r="C66" s="23">
        <f>MIN(C65,$H$17)</f>
        <v/>
      </c>
      <c r="D66" s="23">
        <f>MIN(D65,$H$17)</f>
        <v/>
      </c>
      <c r="E66" s="23">
        <f>MIN(E65,$H$17)</f>
        <v/>
      </c>
      <c r="F66" s="23">
        <f>MIN(F65,$H$17)</f>
        <v/>
      </c>
      <c r="G66" s="23">
        <f>MIN(G65,$H$17)</f>
        <v/>
      </c>
      <c r="H66" s="23">
        <f>MIN(H65,$H$17)</f>
        <v/>
      </c>
      <c r="I66" s="23">
        <f>MIN(I65,$H$17)</f>
        <v/>
      </c>
      <c r="J66" s="23">
        <f>MIN(J65,$H$17)</f>
        <v/>
      </c>
      <c r="K66" s="23">
        <f>MIN(K65,$H$17)</f>
        <v/>
      </c>
      <c r="L66" s="23">
        <f>MIN(L65,$H$17)</f>
        <v/>
      </c>
      <c r="M66" s="23">
        <f>MIN(M65,$H$17)</f>
        <v/>
      </c>
      <c r="N66" s="23">
        <f>MIN(N65,$H$17)</f>
        <v/>
      </c>
      <c r="O66" s="23">
        <f>MIN(O65,$H$17)</f>
        <v/>
      </c>
      <c r="P66" s="23">
        <f>MIN(P65,$H$17)</f>
        <v/>
      </c>
      <c r="Q66" s="23">
        <f>MIN(Q65,$H$17)</f>
        <v/>
      </c>
      <c r="R66" s="23">
        <f>MIN(R65,$H$17)</f>
        <v/>
      </c>
      <c r="S66" s="23">
        <f>MIN(S65,$H$17)</f>
        <v/>
      </c>
      <c r="T66" s="23">
        <f>MIN(T65,$H$17)</f>
        <v/>
      </c>
      <c r="U66" s="23">
        <f>MIN(U65,$H$17)</f>
        <v/>
      </c>
      <c r="V66" s="23">
        <f>MIN(V65,$H$17)</f>
        <v/>
      </c>
      <c r="W66" s="23">
        <f>MIN(W65,$H$17)</f>
        <v/>
      </c>
      <c r="X66" s="23">
        <f>MIN(X65,$H$17)</f>
        <v/>
      </c>
      <c r="Y66" s="23">
        <f>MIN(Y65,$H$17)</f>
        <v/>
      </c>
      <c r="Z66" s="23">
        <f>MIN(Z65,$H$17)</f>
        <v/>
      </c>
      <c r="AA66" s="23">
        <f>MIN(AA65,$H$17)</f>
        <v/>
      </c>
      <c r="AB66" s="23">
        <f>MIN(AB65,$H$17)</f>
        <v/>
      </c>
      <c r="AC66" s="23">
        <f>MIN(AC65,$H$17)</f>
        <v/>
      </c>
      <c r="AD66" s="23">
        <f>MIN(AD65,$H$17)</f>
        <v/>
      </c>
      <c r="AE66" s="23">
        <f>MIN(AE65,$H$17)</f>
        <v/>
      </c>
      <c r="AF66" s="23">
        <f>MIN(AF65,$H$17)</f>
        <v/>
      </c>
      <c r="AG66" s="23">
        <f>MIN(AG65,$H$17)</f>
        <v/>
      </c>
      <c r="AH66" s="23">
        <f>MIN(AH65,$H$17)</f>
        <v/>
      </c>
      <c r="AI66" s="23">
        <f>MIN(AI65,$H$17)</f>
        <v/>
      </c>
      <c r="AJ66" s="23">
        <f>MIN(AJ65,$H$17)</f>
        <v/>
      </c>
      <c r="AK66" s="23">
        <f>MIN(AK65,$H$17)</f>
        <v/>
      </c>
      <c r="AL66" s="23">
        <f>MIN(AL65,$H$17)</f>
        <v/>
      </c>
      <c r="AM66" s="23">
        <f>MIN(AM65,$H$17)</f>
        <v/>
      </c>
      <c r="AN66" s="23">
        <f>MIN(AN65,$H$17)</f>
        <v/>
      </c>
      <c r="AO66" s="23">
        <f>MIN(AO65,$H$17)</f>
        <v/>
      </c>
      <c r="AP66" s="23">
        <f>MIN(AP65,$H$17)</f>
        <v/>
      </c>
      <c r="AQ66" s="23">
        <f>MIN(AQ65,$H$17)</f>
        <v/>
      </c>
      <c r="AR66" s="23">
        <f>MIN(AR65,$H$17)</f>
        <v/>
      </c>
      <c r="AS66" s="23">
        <f>MIN(AS65,$H$17)</f>
        <v/>
      </c>
      <c r="AT66" s="23">
        <f>MIN(AT65,$H$17)</f>
        <v/>
      </c>
      <c r="AU66" s="23">
        <f>MIN(AU65,$H$17)</f>
        <v/>
      </c>
      <c r="AV66" s="23">
        <f>MIN(AV65,$H$17)</f>
        <v/>
      </c>
      <c r="AW66" s="23">
        <f>MIN(AW65,$H$17)</f>
        <v/>
      </c>
      <c r="AX66" s="23">
        <f>MIN(AX65,$H$17)</f>
        <v/>
      </c>
      <c r="AY66" s="23">
        <f>MIN(AY65,$H$17)</f>
        <v/>
      </c>
      <c r="AZ66" s="23">
        <f>MIN(AZ65,$H$17)</f>
        <v/>
      </c>
      <c r="BA66" s="23">
        <f>MIN(BA65,$H$17)</f>
        <v/>
      </c>
      <c r="BB66" s="23">
        <f>MIN(BB65,$H$17)</f>
        <v/>
      </c>
    </row>
    <row r="67">
      <c r="A67" s="3" t="inlineStr">
        <is>
          <t>Stock carried out</t>
        </is>
      </c>
      <c r="B67" s="4" t="inlineStr">
        <is>
          <t>lb</t>
        </is>
      </c>
      <c r="C67" s="23">
        <f>C65-C66</f>
        <v/>
      </c>
      <c r="D67" s="23">
        <f>D65-D66</f>
        <v/>
      </c>
      <c r="E67" s="23">
        <f>E65-E66</f>
        <v/>
      </c>
      <c r="F67" s="23">
        <f>F65-F66</f>
        <v/>
      </c>
      <c r="G67" s="23">
        <f>G65-G66</f>
        <v/>
      </c>
      <c r="H67" s="23">
        <f>H65-H66</f>
        <v/>
      </c>
      <c r="I67" s="23">
        <f>I65-I66</f>
        <v/>
      </c>
      <c r="J67" s="23">
        <f>J65-J66</f>
        <v/>
      </c>
      <c r="K67" s="23">
        <f>K65-K66</f>
        <v/>
      </c>
      <c r="L67" s="23">
        <f>L65-L66</f>
        <v/>
      </c>
      <c r="M67" s="23">
        <f>M65-M66</f>
        <v/>
      </c>
      <c r="N67" s="23">
        <f>N65-N66</f>
        <v/>
      </c>
      <c r="O67" s="23">
        <f>O65-O66</f>
        <v/>
      </c>
      <c r="P67" s="23">
        <f>P65-P66</f>
        <v/>
      </c>
      <c r="Q67" s="23">
        <f>Q65-Q66</f>
        <v/>
      </c>
      <c r="R67" s="23">
        <f>R65-R66</f>
        <v/>
      </c>
      <c r="S67" s="23">
        <f>S65-S66</f>
        <v/>
      </c>
      <c r="T67" s="23">
        <f>T65-T66</f>
        <v/>
      </c>
      <c r="U67" s="23">
        <f>U65-U66</f>
        <v/>
      </c>
      <c r="V67" s="23">
        <f>V65-V66</f>
        <v/>
      </c>
      <c r="W67" s="23">
        <f>W65-W66</f>
        <v/>
      </c>
      <c r="X67" s="23">
        <f>X65-X66</f>
        <v/>
      </c>
      <c r="Y67" s="23">
        <f>Y65-Y66</f>
        <v/>
      </c>
      <c r="Z67" s="23">
        <f>Z65-Z66</f>
        <v/>
      </c>
      <c r="AA67" s="23">
        <f>AA65-AA66</f>
        <v/>
      </c>
      <c r="AB67" s="23">
        <f>AB65-AB66</f>
        <v/>
      </c>
      <c r="AC67" s="23">
        <f>AC65-AC66</f>
        <v/>
      </c>
      <c r="AD67" s="23">
        <f>AD65-AD66</f>
        <v/>
      </c>
      <c r="AE67" s="23">
        <f>AE65-AE66</f>
        <v/>
      </c>
      <c r="AF67" s="23">
        <f>AF65-AF66</f>
        <v/>
      </c>
      <c r="AG67" s="23">
        <f>AG65-AG66</f>
        <v/>
      </c>
      <c r="AH67" s="23">
        <f>AH65-AH66</f>
        <v/>
      </c>
      <c r="AI67" s="23">
        <f>AI65-AI66</f>
        <v/>
      </c>
      <c r="AJ67" s="23">
        <f>AJ65-AJ66</f>
        <v/>
      </c>
      <c r="AK67" s="23">
        <f>AK65-AK66</f>
        <v/>
      </c>
      <c r="AL67" s="23">
        <f>AL65-AL66</f>
        <v/>
      </c>
      <c r="AM67" s="23">
        <f>AM65-AM66</f>
        <v/>
      </c>
      <c r="AN67" s="23">
        <f>AN65-AN66</f>
        <v/>
      </c>
      <c r="AO67" s="23">
        <f>AO65-AO66</f>
        <v/>
      </c>
      <c r="AP67" s="23">
        <f>AP65-AP66</f>
        <v/>
      </c>
      <c r="AQ67" s="23">
        <f>AQ65-AQ66</f>
        <v/>
      </c>
      <c r="AR67" s="23">
        <f>AR65-AR66</f>
        <v/>
      </c>
      <c r="AS67" s="23">
        <f>AS65-AS66</f>
        <v/>
      </c>
      <c r="AT67" s="23">
        <f>AT65-AT66</f>
        <v/>
      </c>
      <c r="AU67" s="23">
        <f>AU65-AU66</f>
        <v/>
      </c>
      <c r="AV67" s="23">
        <f>AV65-AV66</f>
        <v/>
      </c>
      <c r="AW67" s="23">
        <f>AW65-AW66</f>
        <v/>
      </c>
      <c r="AX67" s="23">
        <f>AX65-AX66</f>
        <v/>
      </c>
      <c r="AY67" s="23">
        <f>AY65-AY66</f>
        <v/>
      </c>
      <c r="AZ67" s="23">
        <f>AZ65-AZ66</f>
        <v/>
      </c>
      <c r="BA67" s="23">
        <f>BA65-BA66</f>
        <v/>
      </c>
      <c r="BB67" s="23">
        <f>BB65-BB66</f>
        <v/>
      </c>
    </row>
    <row r="68">
      <c r="A68" s="3" t="inlineStr">
        <is>
          <t>ROOM OCCUPANCY</t>
        </is>
      </c>
      <c r="B68" s="4" t="inlineStr">
        <is>
          <t>m3</t>
        </is>
      </c>
      <c r="C68" s="27">
        <f>(C63+C62)*$D$17</f>
        <v/>
      </c>
      <c r="D68" s="27">
        <f>(D63+D62)*$D$17</f>
        <v/>
      </c>
      <c r="E68" s="27">
        <f>(E63+E62)*$D$17</f>
        <v/>
      </c>
      <c r="F68" s="27">
        <f>(F63+F62)*$D$17</f>
        <v/>
      </c>
      <c r="G68" s="27">
        <f>(G63+G62)*$D$17</f>
        <v/>
      </c>
      <c r="H68" s="27">
        <f>(H63+H62)*$D$17</f>
        <v/>
      </c>
      <c r="I68" s="27">
        <f>(I63+I62)*$D$17</f>
        <v/>
      </c>
      <c r="J68" s="27">
        <f>(J63+J62)*$D$17</f>
        <v/>
      </c>
      <c r="K68" s="27">
        <f>(K63+K62)*$D$17</f>
        <v/>
      </c>
      <c r="L68" s="27">
        <f>(L63+L62)*$D$17</f>
        <v/>
      </c>
      <c r="M68" s="27">
        <f>(M63+M62)*$D$17</f>
        <v/>
      </c>
      <c r="N68" s="27">
        <f>(N63+N62)*$D$17</f>
        <v/>
      </c>
      <c r="O68" s="27">
        <f>(O63+O62)*$D$17</f>
        <v/>
      </c>
      <c r="P68" s="27">
        <f>(P63+P62)*$D$17</f>
        <v/>
      </c>
      <c r="Q68" s="27">
        <f>(Q63+Q62)*$D$17</f>
        <v/>
      </c>
      <c r="R68" s="27">
        <f>(R63+R62)*$D$17</f>
        <v/>
      </c>
      <c r="S68" s="27">
        <f>(S63+S62)*$D$17</f>
        <v/>
      </c>
      <c r="T68" s="27">
        <f>(T63+T62)*$D$17</f>
        <v/>
      </c>
      <c r="U68" s="27">
        <f>(U63+U62)*$D$17</f>
        <v/>
      </c>
      <c r="V68" s="27">
        <f>(V63+V62)*$D$17</f>
        <v/>
      </c>
      <c r="W68" s="27">
        <f>(W63+W62)*$D$17</f>
        <v/>
      </c>
      <c r="X68" s="27">
        <f>(X63+X62)*$D$17</f>
        <v/>
      </c>
      <c r="Y68" s="27">
        <f>(Y63+Y62)*$D$17</f>
        <v/>
      </c>
      <c r="Z68" s="27">
        <f>(Z63+Z62)*$D$17</f>
        <v/>
      </c>
      <c r="AA68" s="27">
        <f>(AA63+AA62)*$D$17</f>
        <v/>
      </c>
      <c r="AB68" s="27">
        <f>(AB63+AB62)*$D$17</f>
        <v/>
      </c>
      <c r="AC68" s="27">
        <f>(AC63+AC62)*$D$17</f>
        <v/>
      </c>
      <c r="AD68" s="27">
        <f>(AD63+AD62)*$D$17</f>
        <v/>
      </c>
      <c r="AE68" s="27">
        <f>(AE63+AE62)*$D$17</f>
        <v/>
      </c>
      <c r="AF68" s="27">
        <f>(AF63+AF62)*$D$17</f>
        <v/>
      </c>
      <c r="AG68" s="27">
        <f>(AG63+AG62)*$D$17</f>
        <v/>
      </c>
      <c r="AH68" s="27">
        <f>(AH63+AH62)*$D$17</f>
        <v/>
      </c>
      <c r="AI68" s="27">
        <f>(AI63+AI62)*$D$17</f>
        <v/>
      </c>
      <c r="AJ68" s="27">
        <f>(AJ63+AJ62)*$D$17</f>
        <v/>
      </c>
      <c r="AK68" s="27">
        <f>(AK63+AK62)*$D$17</f>
        <v/>
      </c>
      <c r="AL68" s="27">
        <f>(AL63+AL62)*$D$17</f>
        <v/>
      </c>
      <c r="AM68" s="27">
        <f>(AM63+AM62)*$D$17</f>
        <v/>
      </c>
      <c r="AN68" s="27">
        <f>(AN63+AN62)*$D$17</f>
        <v/>
      </c>
      <c r="AO68" s="27">
        <f>(AO63+AO62)*$D$17</f>
        <v/>
      </c>
      <c r="AP68" s="27">
        <f>(AP63+AP62)*$D$17</f>
        <v/>
      </c>
      <c r="AQ68" s="27">
        <f>(AQ63+AQ62)*$D$17</f>
        <v/>
      </c>
      <c r="AR68" s="27">
        <f>(AR63+AR62)*$D$17</f>
        <v/>
      </c>
      <c r="AS68" s="27">
        <f>(AS63+AS62)*$D$17</f>
        <v/>
      </c>
      <c r="AT68" s="27">
        <f>(AT63+AT62)*$D$17</f>
        <v/>
      </c>
      <c r="AU68" s="27">
        <f>(AU63+AU62)*$D$17</f>
        <v/>
      </c>
      <c r="AV68" s="27">
        <f>(AV63+AV62)*$D$17</f>
        <v/>
      </c>
      <c r="AW68" s="27">
        <f>(AW63+AW62)*$D$17</f>
        <v/>
      </c>
      <c r="AX68" s="27">
        <f>(AX63+AX62)*$D$17</f>
        <v/>
      </c>
      <c r="AY68" s="27">
        <f>(AY63+AY62)*$D$17</f>
        <v/>
      </c>
      <c r="AZ68" s="27">
        <f>(AZ63+AZ62)*$D$17</f>
        <v/>
      </c>
      <c r="BA68" s="27">
        <f>(BA63+BA62)*$D$17</f>
        <v/>
      </c>
      <c r="BB68" s="27">
        <f>(BB63+BB62)*$D$17</f>
        <v/>
      </c>
    </row>
    <row r="69">
      <c r="A69" s="4" t="inlineStr">
        <is>
          <t xml:space="preserve">   = carried in + ALL of this week's harvest, before any of it ships</t>
        </is>
      </c>
    </row>
    <row r="70">
      <c r="A70" s="21" t="inlineStr">
        <is>
          <t>Over shelf life?</t>
        </is>
      </c>
      <c r="B70" s="4" t="inlineStr">
        <is>
          <t>lb</t>
        </is>
      </c>
      <c r="C70" s="23">
        <f>MAX(0,C67-SUMIFS($C$62:$BB$62,$C$26:$BB$26,"&gt;="&amp;C$26-$F$17+2,$C$26:$BB$26,"&lt;="&amp;C$26))</f>
        <v/>
      </c>
      <c r="D70" s="23">
        <f>MAX(0,D67-SUMIFS($C$62:$BB$62,$C$26:$BB$26,"&gt;="&amp;D$26-$F$17+2,$C$26:$BB$26,"&lt;="&amp;D$26))</f>
        <v/>
      </c>
      <c r="E70" s="23">
        <f>MAX(0,E67-SUMIFS($C$62:$BB$62,$C$26:$BB$26,"&gt;="&amp;E$26-$F$17+2,$C$26:$BB$26,"&lt;="&amp;E$26))</f>
        <v/>
      </c>
      <c r="F70" s="23">
        <f>MAX(0,F67-SUMIFS($C$62:$BB$62,$C$26:$BB$26,"&gt;="&amp;F$26-$F$17+2,$C$26:$BB$26,"&lt;="&amp;F$26))</f>
        <v/>
      </c>
      <c r="G70" s="23">
        <f>MAX(0,G67-SUMIFS($C$62:$BB$62,$C$26:$BB$26,"&gt;="&amp;G$26-$F$17+2,$C$26:$BB$26,"&lt;="&amp;G$26))</f>
        <v/>
      </c>
      <c r="H70" s="23">
        <f>MAX(0,H67-SUMIFS($C$62:$BB$62,$C$26:$BB$26,"&gt;="&amp;H$26-$F$17+2,$C$26:$BB$26,"&lt;="&amp;H$26))</f>
        <v/>
      </c>
      <c r="I70" s="23">
        <f>MAX(0,I67-SUMIFS($C$62:$BB$62,$C$26:$BB$26,"&gt;="&amp;I$26-$F$17+2,$C$26:$BB$26,"&lt;="&amp;I$26))</f>
        <v/>
      </c>
      <c r="J70" s="23">
        <f>MAX(0,J67-SUMIFS($C$62:$BB$62,$C$26:$BB$26,"&gt;="&amp;J$26-$F$17+2,$C$26:$BB$26,"&lt;="&amp;J$26))</f>
        <v/>
      </c>
      <c r="K70" s="23">
        <f>MAX(0,K67-SUMIFS($C$62:$BB$62,$C$26:$BB$26,"&gt;="&amp;K$26-$F$17+2,$C$26:$BB$26,"&lt;="&amp;K$26))</f>
        <v/>
      </c>
      <c r="L70" s="23">
        <f>MAX(0,L67-SUMIFS($C$62:$BB$62,$C$26:$BB$26,"&gt;="&amp;L$26-$F$17+2,$C$26:$BB$26,"&lt;="&amp;L$26))</f>
        <v/>
      </c>
      <c r="M70" s="23">
        <f>MAX(0,M67-SUMIFS($C$62:$BB$62,$C$26:$BB$26,"&gt;="&amp;M$26-$F$17+2,$C$26:$BB$26,"&lt;="&amp;M$26))</f>
        <v/>
      </c>
      <c r="N70" s="23">
        <f>MAX(0,N67-SUMIFS($C$62:$BB$62,$C$26:$BB$26,"&gt;="&amp;N$26-$F$17+2,$C$26:$BB$26,"&lt;="&amp;N$26))</f>
        <v/>
      </c>
      <c r="O70" s="23">
        <f>MAX(0,O67-SUMIFS($C$62:$BB$62,$C$26:$BB$26,"&gt;="&amp;O$26-$F$17+2,$C$26:$BB$26,"&lt;="&amp;O$26))</f>
        <v/>
      </c>
      <c r="P70" s="23">
        <f>MAX(0,P67-SUMIFS($C$62:$BB$62,$C$26:$BB$26,"&gt;="&amp;P$26-$F$17+2,$C$26:$BB$26,"&lt;="&amp;P$26))</f>
        <v/>
      </c>
      <c r="Q70" s="23">
        <f>MAX(0,Q67-SUMIFS($C$62:$BB$62,$C$26:$BB$26,"&gt;="&amp;Q$26-$F$17+2,$C$26:$BB$26,"&lt;="&amp;Q$26))</f>
        <v/>
      </c>
      <c r="R70" s="23">
        <f>MAX(0,R67-SUMIFS($C$62:$BB$62,$C$26:$BB$26,"&gt;="&amp;R$26-$F$17+2,$C$26:$BB$26,"&lt;="&amp;R$26))</f>
        <v/>
      </c>
      <c r="S70" s="23">
        <f>MAX(0,S67-SUMIFS($C$62:$BB$62,$C$26:$BB$26,"&gt;="&amp;S$26-$F$17+2,$C$26:$BB$26,"&lt;="&amp;S$26))</f>
        <v/>
      </c>
      <c r="T70" s="23">
        <f>MAX(0,T67-SUMIFS($C$62:$BB$62,$C$26:$BB$26,"&gt;="&amp;T$26-$F$17+2,$C$26:$BB$26,"&lt;="&amp;T$26))</f>
        <v/>
      </c>
      <c r="U70" s="23">
        <f>MAX(0,U67-SUMIFS($C$62:$BB$62,$C$26:$BB$26,"&gt;="&amp;U$26-$F$17+2,$C$26:$BB$26,"&lt;="&amp;U$26))</f>
        <v/>
      </c>
      <c r="V70" s="23">
        <f>MAX(0,V67-SUMIFS($C$62:$BB$62,$C$26:$BB$26,"&gt;="&amp;V$26-$F$17+2,$C$26:$BB$26,"&lt;="&amp;V$26))</f>
        <v/>
      </c>
      <c r="W70" s="23">
        <f>MAX(0,W67-SUMIFS($C$62:$BB$62,$C$26:$BB$26,"&gt;="&amp;W$26-$F$17+2,$C$26:$BB$26,"&lt;="&amp;W$26))</f>
        <v/>
      </c>
      <c r="X70" s="23">
        <f>MAX(0,X67-SUMIFS($C$62:$BB$62,$C$26:$BB$26,"&gt;="&amp;X$26-$F$17+2,$C$26:$BB$26,"&lt;="&amp;X$26))</f>
        <v/>
      </c>
      <c r="Y70" s="23">
        <f>MAX(0,Y67-SUMIFS($C$62:$BB$62,$C$26:$BB$26,"&gt;="&amp;Y$26-$F$17+2,$C$26:$BB$26,"&lt;="&amp;Y$26))</f>
        <v/>
      </c>
      <c r="Z70" s="23">
        <f>MAX(0,Z67-SUMIFS($C$62:$BB$62,$C$26:$BB$26,"&gt;="&amp;Z$26-$F$17+2,$C$26:$BB$26,"&lt;="&amp;Z$26))</f>
        <v/>
      </c>
      <c r="AA70" s="23">
        <f>MAX(0,AA67-SUMIFS($C$62:$BB$62,$C$26:$BB$26,"&gt;="&amp;AA$26-$F$17+2,$C$26:$BB$26,"&lt;="&amp;AA$26))</f>
        <v/>
      </c>
      <c r="AB70" s="23">
        <f>MAX(0,AB67-SUMIFS($C$62:$BB$62,$C$26:$BB$26,"&gt;="&amp;AB$26-$F$17+2,$C$26:$BB$26,"&lt;="&amp;AB$26))</f>
        <v/>
      </c>
      <c r="AC70" s="23">
        <f>MAX(0,AC67-SUMIFS($C$62:$BB$62,$C$26:$BB$26,"&gt;="&amp;AC$26-$F$17+2,$C$26:$BB$26,"&lt;="&amp;AC$26))</f>
        <v/>
      </c>
      <c r="AD70" s="23">
        <f>MAX(0,AD67-SUMIFS($C$62:$BB$62,$C$26:$BB$26,"&gt;="&amp;AD$26-$F$17+2,$C$26:$BB$26,"&lt;="&amp;AD$26))</f>
        <v/>
      </c>
      <c r="AE70" s="23">
        <f>MAX(0,AE67-SUMIFS($C$62:$BB$62,$C$26:$BB$26,"&gt;="&amp;AE$26-$F$17+2,$C$26:$BB$26,"&lt;="&amp;AE$26))</f>
        <v/>
      </c>
      <c r="AF70" s="23">
        <f>MAX(0,AF67-SUMIFS($C$62:$BB$62,$C$26:$BB$26,"&gt;="&amp;AF$26-$F$17+2,$C$26:$BB$26,"&lt;="&amp;AF$26))</f>
        <v/>
      </c>
      <c r="AG70" s="23">
        <f>MAX(0,AG67-SUMIFS($C$62:$BB$62,$C$26:$BB$26,"&gt;="&amp;AG$26-$F$17+2,$C$26:$BB$26,"&lt;="&amp;AG$26))</f>
        <v/>
      </c>
      <c r="AH70" s="23">
        <f>MAX(0,AH67-SUMIFS($C$62:$BB$62,$C$26:$BB$26,"&gt;="&amp;AH$26-$F$17+2,$C$26:$BB$26,"&lt;="&amp;AH$26))</f>
        <v/>
      </c>
      <c r="AI70" s="23">
        <f>MAX(0,AI67-SUMIFS($C$62:$BB$62,$C$26:$BB$26,"&gt;="&amp;AI$26-$F$17+2,$C$26:$BB$26,"&lt;="&amp;AI$26))</f>
        <v/>
      </c>
      <c r="AJ70" s="23">
        <f>MAX(0,AJ67-SUMIFS($C$62:$BB$62,$C$26:$BB$26,"&gt;="&amp;AJ$26-$F$17+2,$C$26:$BB$26,"&lt;="&amp;AJ$26))</f>
        <v/>
      </c>
      <c r="AK70" s="23">
        <f>MAX(0,AK67-SUMIFS($C$62:$BB$62,$C$26:$BB$26,"&gt;="&amp;AK$26-$F$17+2,$C$26:$BB$26,"&lt;="&amp;AK$26))</f>
        <v/>
      </c>
      <c r="AL70" s="23">
        <f>MAX(0,AL67-SUMIFS($C$62:$BB$62,$C$26:$BB$26,"&gt;="&amp;AL$26-$F$17+2,$C$26:$BB$26,"&lt;="&amp;AL$26))</f>
        <v/>
      </c>
      <c r="AM70" s="23">
        <f>MAX(0,AM67-SUMIFS($C$62:$BB$62,$C$26:$BB$26,"&gt;="&amp;AM$26-$F$17+2,$C$26:$BB$26,"&lt;="&amp;AM$26))</f>
        <v/>
      </c>
      <c r="AN70" s="23">
        <f>MAX(0,AN67-SUMIFS($C$62:$BB$62,$C$26:$BB$26,"&gt;="&amp;AN$26-$F$17+2,$C$26:$BB$26,"&lt;="&amp;AN$26))</f>
        <v/>
      </c>
      <c r="AO70" s="23">
        <f>MAX(0,AO67-SUMIFS($C$62:$BB$62,$C$26:$BB$26,"&gt;="&amp;AO$26-$F$17+2,$C$26:$BB$26,"&lt;="&amp;AO$26))</f>
        <v/>
      </c>
      <c r="AP70" s="23">
        <f>MAX(0,AP67-SUMIFS($C$62:$BB$62,$C$26:$BB$26,"&gt;="&amp;AP$26-$F$17+2,$C$26:$BB$26,"&lt;="&amp;AP$26))</f>
        <v/>
      </c>
      <c r="AQ70" s="23">
        <f>MAX(0,AQ67-SUMIFS($C$62:$BB$62,$C$26:$BB$26,"&gt;="&amp;AQ$26-$F$17+2,$C$26:$BB$26,"&lt;="&amp;AQ$26))</f>
        <v/>
      </c>
      <c r="AR70" s="23">
        <f>MAX(0,AR67-SUMIFS($C$62:$BB$62,$C$26:$BB$26,"&gt;="&amp;AR$26-$F$17+2,$C$26:$BB$26,"&lt;="&amp;AR$26))</f>
        <v/>
      </c>
      <c r="AS70" s="23">
        <f>MAX(0,AS67-SUMIFS($C$62:$BB$62,$C$26:$BB$26,"&gt;="&amp;AS$26-$F$17+2,$C$26:$BB$26,"&lt;="&amp;AS$26))</f>
        <v/>
      </c>
      <c r="AT70" s="23">
        <f>MAX(0,AT67-SUMIFS($C$62:$BB$62,$C$26:$BB$26,"&gt;="&amp;AT$26-$F$17+2,$C$26:$BB$26,"&lt;="&amp;AT$26))</f>
        <v/>
      </c>
      <c r="AU70" s="23">
        <f>MAX(0,AU67-SUMIFS($C$62:$BB$62,$C$26:$BB$26,"&gt;="&amp;AU$26-$F$17+2,$C$26:$BB$26,"&lt;="&amp;AU$26))</f>
        <v/>
      </c>
      <c r="AV70" s="23">
        <f>MAX(0,AV67-SUMIFS($C$62:$BB$62,$C$26:$BB$26,"&gt;="&amp;AV$26-$F$17+2,$C$26:$BB$26,"&lt;="&amp;AV$26))</f>
        <v/>
      </c>
      <c r="AW70" s="23">
        <f>MAX(0,AW67-SUMIFS($C$62:$BB$62,$C$26:$BB$26,"&gt;="&amp;AW$26-$F$17+2,$C$26:$BB$26,"&lt;="&amp;AW$26))</f>
        <v/>
      </c>
      <c r="AX70" s="23">
        <f>MAX(0,AX67-SUMIFS($C$62:$BB$62,$C$26:$BB$26,"&gt;="&amp;AX$26-$F$17+2,$C$26:$BB$26,"&lt;="&amp;AX$26))</f>
        <v/>
      </c>
      <c r="AY70" s="23">
        <f>MAX(0,AY67-SUMIFS($C$62:$BB$62,$C$26:$BB$26,"&gt;="&amp;AY$26-$F$17+2,$C$26:$BB$26,"&lt;="&amp;AY$26))</f>
        <v/>
      </c>
      <c r="AZ70" s="23">
        <f>MAX(0,AZ67-SUMIFS($C$62:$BB$62,$C$26:$BB$26,"&gt;="&amp;AZ$26-$F$17+2,$C$26:$BB$26,"&lt;="&amp;AZ$26))</f>
        <v/>
      </c>
      <c r="BA70" s="23">
        <f>MAX(0,BA67-SUMIFS($C$62:$BB$62,$C$26:$BB$26,"&gt;="&amp;BA$26-$F$17+2,$C$26:$BB$26,"&lt;="&amp;BA$26))</f>
        <v/>
      </c>
      <c r="BB70" s="23">
        <f>MAX(0,BB67-SUMIFS($C$62:$BB$62,$C$26:$BB$26,"&gt;="&amp;BB$26-$F$17+2,$C$26:$BB$26,"&lt;="&amp;BB$26))</f>
        <v/>
      </c>
    </row>
    <row r="71">
      <c r="A71" s="4" t="inlineStr">
        <is>
          <t xml:space="preserve">   stock older than its shelf life — a WARNING here, a hard constraint in the app</t>
        </is>
      </c>
    </row>
    <row r="73">
      <c r="A73" s="2" t="inlineStr">
        <is>
          <t>GARLIC  —  ambient store</t>
        </is>
      </c>
      <c r="B73" s="28" t="inlineStr"/>
    </row>
    <row r="74">
      <c r="A74" s="18" t="inlineStr">
        <is>
          <t>Week</t>
        </is>
      </c>
      <c r="B74" s="19" t="inlineStr"/>
      <c r="C74" s="20" t="n">
        <v>1</v>
      </c>
      <c r="D74" s="20" t="n">
        <v>2</v>
      </c>
      <c r="E74" s="20" t="n">
        <v>3</v>
      </c>
      <c r="F74" s="20" t="n">
        <v>4</v>
      </c>
      <c r="G74" s="20" t="n">
        <v>5</v>
      </c>
      <c r="H74" s="20" t="n">
        <v>6</v>
      </c>
      <c r="I74" s="20" t="n">
        <v>7</v>
      </c>
      <c r="J74" s="20" t="n">
        <v>8</v>
      </c>
      <c r="K74" s="20" t="n">
        <v>9</v>
      </c>
      <c r="L74" s="20" t="n">
        <v>10</v>
      </c>
      <c r="M74" s="20" t="n">
        <v>11</v>
      </c>
      <c r="N74" s="20" t="n">
        <v>12</v>
      </c>
      <c r="O74" s="20" t="n">
        <v>13</v>
      </c>
      <c r="P74" s="20" t="n">
        <v>14</v>
      </c>
      <c r="Q74" s="20" t="n">
        <v>15</v>
      </c>
      <c r="R74" s="20" t="n">
        <v>16</v>
      </c>
      <c r="S74" s="20" t="n">
        <v>17</v>
      </c>
      <c r="T74" s="20" t="n">
        <v>18</v>
      </c>
      <c r="U74" s="20" t="n">
        <v>19</v>
      </c>
      <c r="V74" s="20" t="n">
        <v>20</v>
      </c>
      <c r="W74" s="20" t="n">
        <v>21</v>
      </c>
      <c r="X74" s="20" t="n">
        <v>22</v>
      </c>
      <c r="Y74" s="20" t="n">
        <v>23</v>
      </c>
      <c r="Z74" s="20" t="n">
        <v>24</v>
      </c>
      <c r="AA74" s="20" t="n">
        <v>25</v>
      </c>
      <c r="AB74" s="20" t="n">
        <v>26</v>
      </c>
      <c r="AC74" s="20" t="n">
        <v>27</v>
      </c>
      <c r="AD74" s="20" t="n">
        <v>28</v>
      </c>
      <c r="AE74" s="20" t="n">
        <v>29</v>
      </c>
      <c r="AF74" s="20" t="n">
        <v>30</v>
      </c>
      <c r="AG74" s="20" t="n">
        <v>31</v>
      </c>
      <c r="AH74" s="20" t="n">
        <v>32</v>
      </c>
      <c r="AI74" s="20" t="n">
        <v>33</v>
      </c>
      <c r="AJ74" s="20" t="n">
        <v>34</v>
      </c>
      <c r="AK74" s="20" t="n">
        <v>35</v>
      </c>
      <c r="AL74" s="20" t="n">
        <v>36</v>
      </c>
      <c r="AM74" s="20" t="n">
        <v>37</v>
      </c>
      <c r="AN74" s="20" t="n">
        <v>38</v>
      </c>
      <c r="AO74" s="20" t="n">
        <v>39</v>
      </c>
      <c r="AP74" s="20" t="n">
        <v>40</v>
      </c>
      <c r="AQ74" s="20" t="n">
        <v>41</v>
      </c>
      <c r="AR74" s="20" t="n">
        <v>42</v>
      </c>
      <c r="AS74" s="20" t="n">
        <v>43</v>
      </c>
      <c r="AT74" s="20" t="n">
        <v>44</v>
      </c>
      <c r="AU74" s="20" t="n">
        <v>45</v>
      </c>
      <c r="AV74" s="20" t="n">
        <v>46</v>
      </c>
      <c r="AW74" s="20" t="n">
        <v>47</v>
      </c>
      <c r="AX74" s="20" t="n">
        <v>48</v>
      </c>
      <c r="AY74" s="20" t="n">
        <v>49</v>
      </c>
      <c r="AZ74" s="20" t="n">
        <v>50</v>
      </c>
      <c r="BA74" s="20" t="n">
        <v>51</v>
      </c>
      <c r="BB74" s="20" t="n">
        <v>52</v>
      </c>
    </row>
    <row r="75">
      <c r="A75" s="21" t="inlineStr">
        <is>
          <t>Harvested this week</t>
        </is>
      </c>
      <c r="B75" s="4" t="inlineStr">
        <is>
          <t>lb</t>
        </is>
      </c>
      <c r="C75" s="23">
        <f>C37</f>
        <v/>
      </c>
      <c r="D75" s="23">
        <f>D37</f>
        <v/>
      </c>
      <c r="E75" s="23">
        <f>E37</f>
        <v/>
      </c>
      <c r="F75" s="23">
        <f>F37</f>
        <v/>
      </c>
      <c r="G75" s="23">
        <f>G37</f>
        <v/>
      </c>
      <c r="H75" s="23">
        <f>H37</f>
        <v/>
      </c>
      <c r="I75" s="23">
        <f>I37</f>
        <v/>
      </c>
      <c r="J75" s="23">
        <f>J37</f>
        <v/>
      </c>
      <c r="K75" s="23">
        <f>K37</f>
        <v/>
      </c>
      <c r="L75" s="23">
        <f>L37</f>
        <v/>
      </c>
      <c r="M75" s="23">
        <f>M37</f>
        <v/>
      </c>
      <c r="N75" s="23">
        <f>N37</f>
        <v/>
      </c>
      <c r="O75" s="23">
        <f>O37</f>
        <v/>
      </c>
      <c r="P75" s="23">
        <f>P37</f>
        <v/>
      </c>
      <c r="Q75" s="23">
        <f>Q37</f>
        <v/>
      </c>
      <c r="R75" s="23">
        <f>R37</f>
        <v/>
      </c>
      <c r="S75" s="23">
        <f>S37</f>
        <v/>
      </c>
      <c r="T75" s="23">
        <f>T37</f>
        <v/>
      </c>
      <c r="U75" s="23">
        <f>U37</f>
        <v/>
      </c>
      <c r="V75" s="23">
        <f>V37</f>
        <v/>
      </c>
      <c r="W75" s="23">
        <f>W37</f>
        <v/>
      </c>
      <c r="X75" s="23">
        <f>X37</f>
        <v/>
      </c>
      <c r="Y75" s="23">
        <f>Y37</f>
        <v/>
      </c>
      <c r="Z75" s="23">
        <f>Z37</f>
        <v/>
      </c>
      <c r="AA75" s="23">
        <f>AA37</f>
        <v/>
      </c>
      <c r="AB75" s="23">
        <f>AB37</f>
        <v/>
      </c>
      <c r="AC75" s="23">
        <f>AC37</f>
        <v/>
      </c>
      <c r="AD75" s="23">
        <f>AD37</f>
        <v/>
      </c>
      <c r="AE75" s="23">
        <f>AE37</f>
        <v/>
      </c>
      <c r="AF75" s="23">
        <f>AF37</f>
        <v/>
      </c>
      <c r="AG75" s="23">
        <f>AG37</f>
        <v/>
      </c>
      <c r="AH75" s="23">
        <f>AH37</f>
        <v/>
      </c>
      <c r="AI75" s="23">
        <f>AI37</f>
        <v/>
      </c>
      <c r="AJ75" s="23">
        <f>AJ37</f>
        <v/>
      </c>
      <c r="AK75" s="23">
        <f>AK37</f>
        <v/>
      </c>
      <c r="AL75" s="23">
        <f>AL37</f>
        <v/>
      </c>
      <c r="AM75" s="23">
        <f>AM37</f>
        <v/>
      </c>
      <c r="AN75" s="23">
        <f>AN37</f>
        <v/>
      </c>
      <c r="AO75" s="23">
        <f>AO37</f>
        <v/>
      </c>
      <c r="AP75" s="23">
        <f>AP37</f>
        <v/>
      </c>
      <c r="AQ75" s="23">
        <f>AQ37</f>
        <v/>
      </c>
      <c r="AR75" s="23">
        <f>AR37</f>
        <v/>
      </c>
      <c r="AS75" s="23">
        <f>AS37</f>
        <v/>
      </c>
      <c r="AT75" s="23">
        <f>AT37</f>
        <v/>
      </c>
      <c r="AU75" s="23">
        <f>AU37</f>
        <v/>
      </c>
      <c r="AV75" s="23">
        <f>AV37</f>
        <v/>
      </c>
      <c r="AW75" s="23">
        <f>AW37</f>
        <v/>
      </c>
      <c r="AX75" s="23">
        <f>AX37</f>
        <v/>
      </c>
      <c r="AY75" s="23">
        <f>AY37</f>
        <v/>
      </c>
      <c r="AZ75" s="23">
        <f>AZ37</f>
        <v/>
      </c>
      <c r="BA75" s="23">
        <f>BA37</f>
        <v/>
      </c>
      <c r="BB75" s="23">
        <f>BB37</f>
        <v/>
      </c>
    </row>
    <row r="76">
      <c r="A76" s="21" t="inlineStr">
        <is>
          <t>Stock carried in</t>
        </is>
      </c>
      <c r="B76" s="4" t="inlineStr">
        <is>
          <t>lb</t>
        </is>
      </c>
      <c r="C76" s="23" t="n">
        <v>0</v>
      </c>
      <c r="D76" s="23">
        <f>C80</f>
        <v/>
      </c>
      <c r="E76" s="23">
        <f>D80</f>
        <v/>
      </c>
      <c r="F76" s="23">
        <f>E80</f>
        <v/>
      </c>
      <c r="G76" s="23">
        <f>F80</f>
        <v/>
      </c>
      <c r="H76" s="23">
        <f>G80</f>
        <v/>
      </c>
      <c r="I76" s="23">
        <f>H80</f>
        <v/>
      </c>
      <c r="J76" s="23">
        <f>I80</f>
        <v/>
      </c>
      <c r="K76" s="23">
        <f>J80</f>
        <v/>
      </c>
      <c r="L76" s="23">
        <f>K80</f>
        <v/>
      </c>
      <c r="M76" s="23">
        <f>L80</f>
        <v/>
      </c>
      <c r="N76" s="23">
        <f>M80</f>
        <v/>
      </c>
      <c r="O76" s="23">
        <f>N80</f>
        <v/>
      </c>
      <c r="P76" s="23">
        <f>O80</f>
        <v/>
      </c>
      <c r="Q76" s="23">
        <f>P80</f>
        <v/>
      </c>
      <c r="R76" s="23">
        <f>Q80</f>
        <v/>
      </c>
      <c r="S76" s="23">
        <f>R80</f>
        <v/>
      </c>
      <c r="T76" s="23">
        <f>S80</f>
        <v/>
      </c>
      <c r="U76" s="23">
        <f>T80</f>
        <v/>
      </c>
      <c r="V76" s="23">
        <f>U80</f>
        <v/>
      </c>
      <c r="W76" s="23">
        <f>V80</f>
        <v/>
      </c>
      <c r="X76" s="23">
        <f>W80</f>
        <v/>
      </c>
      <c r="Y76" s="23">
        <f>X80</f>
        <v/>
      </c>
      <c r="Z76" s="23">
        <f>Y80</f>
        <v/>
      </c>
      <c r="AA76" s="23">
        <f>Z80</f>
        <v/>
      </c>
      <c r="AB76" s="23">
        <f>AA80</f>
        <v/>
      </c>
      <c r="AC76" s="23">
        <f>AB80</f>
        <v/>
      </c>
      <c r="AD76" s="23">
        <f>AC80</f>
        <v/>
      </c>
      <c r="AE76" s="23">
        <f>AD80</f>
        <v/>
      </c>
      <c r="AF76" s="23">
        <f>AE80</f>
        <v/>
      </c>
      <c r="AG76" s="23">
        <f>AF80</f>
        <v/>
      </c>
      <c r="AH76" s="23">
        <f>AG80</f>
        <v/>
      </c>
      <c r="AI76" s="23">
        <f>AH80</f>
        <v/>
      </c>
      <c r="AJ76" s="23">
        <f>AI80</f>
        <v/>
      </c>
      <c r="AK76" s="23">
        <f>AJ80</f>
        <v/>
      </c>
      <c r="AL76" s="23">
        <f>AK80</f>
        <v/>
      </c>
      <c r="AM76" s="23">
        <f>AL80</f>
        <v/>
      </c>
      <c r="AN76" s="23">
        <f>AM80</f>
        <v/>
      </c>
      <c r="AO76" s="23">
        <f>AN80</f>
        <v/>
      </c>
      <c r="AP76" s="23">
        <f>AO80</f>
        <v/>
      </c>
      <c r="AQ76" s="23">
        <f>AP80</f>
        <v/>
      </c>
      <c r="AR76" s="23">
        <f>AQ80</f>
        <v/>
      </c>
      <c r="AS76" s="23">
        <f>AR80</f>
        <v/>
      </c>
      <c r="AT76" s="23">
        <f>AS80</f>
        <v/>
      </c>
      <c r="AU76" s="23">
        <f>AT80</f>
        <v/>
      </c>
      <c r="AV76" s="23">
        <f>AU80</f>
        <v/>
      </c>
      <c r="AW76" s="23">
        <f>AV80</f>
        <v/>
      </c>
      <c r="AX76" s="23">
        <f>AW80</f>
        <v/>
      </c>
      <c r="AY76" s="23">
        <f>AX80</f>
        <v/>
      </c>
      <c r="AZ76" s="23">
        <f>AY80</f>
        <v/>
      </c>
      <c r="BA76" s="23">
        <f>AZ80</f>
        <v/>
      </c>
      <c r="BB76" s="23">
        <f>BA80</f>
        <v/>
      </c>
    </row>
    <row r="77">
      <c r="A77" s="21" t="inlineStr">
        <is>
          <t xml:space="preserve">   lost to shrink</t>
        </is>
      </c>
      <c r="B77" s="4" t="inlineStr">
        <is>
          <t>lb</t>
        </is>
      </c>
      <c r="C77" s="23">
        <f>C76*$G$18</f>
        <v/>
      </c>
      <c r="D77" s="23">
        <f>D76*$G$18</f>
        <v/>
      </c>
      <c r="E77" s="23">
        <f>E76*$G$18</f>
        <v/>
      </c>
      <c r="F77" s="23">
        <f>F76*$G$18</f>
        <v/>
      </c>
      <c r="G77" s="23">
        <f>G76*$G$18</f>
        <v/>
      </c>
      <c r="H77" s="23">
        <f>H76*$G$18</f>
        <v/>
      </c>
      <c r="I77" s="23">
        <f>I76*$G$18</f>
        <v/>
      </c>
      <c r="J77" s="23">
        <f>J76*$G$18</f>
        <v/>
      </c>
      <c r="K77" s="23">
        <f>K76*$G$18</f>
        <v/>
      </c>
      <c r="L77" s="23">
        <f>L76*$G$18</f>
        <v/>
      </c>
      <c r="M77" s="23">
        <f>M76*$G$18</f>
        <v/>
      </c>
      <c r="N77" s="23">
        <f>N76*$G$18</f>
        <v/>
      </c>
      <c r="O77" s="23">
        <f>O76*$G$18</f>
        <v/>
      </c>
      <c r="P77" s="23">
        <f>P76*$G$18</f>
        <v/>
      </c>
      <c r="Q77" s="23">
        <f>Q76*$G$18</f>
        <v/>
      </c>
      <c r="R77" s="23">
        <f>R76*$G$18</f>
        <v/>
      </c>
      <c r="S77" s="23">
        <f>S76*$G$18</f>
        <v/>
      </c>
      <c r="T77" s="23">
        <f>T76*$G$18</f>
        <v/>
      </c>
      <c r="U77" s="23">
        <f>U76*$G$18</f>
        <v/>
      </c>
      <c r="V77" s="23">
        <f>V76*$G$18</f>
        <v/>
      </c>
      <c r="W77" s="23">
        <f>W76*$G$18</f>
        <v/>
      </c>
      <c r="X77" s="23">
        <f>X76*$G$18</f>
        <v/>
      </c>
      <c r="Y77" s="23">
        <f>Y76*$G$18</f>
        <v/>
      </c>
      <c r="Z77" s="23">
        <f>Z76*$G$18</f>
        <v/>
      </c>
      <c r="AA77" s="23">
        <f>AA76*$G$18</f>
        <v/>
      </c>
      <c r="AB77" s="23">
        <f>AB76*$G$18</f>
        <v/>
      </c>
      <c r="AC77" s="23">
        <f>AC76*$G$18</f>
        <v/>
      </c>
      <c r="AD77" s="23">
        <f>AD76*$G$18</f>
        <v/>
      </c>
      <c r="AE77" s="23">
        <f>AE76*$G$18</f>
        <v/>
      </c>
      <c r="AF77" s="23">
        <f>AF76*$G$18</f>
        <v/>
      </c>
      <c r="AG77" s="23">
        <f>AG76*$G$18</f>
        <v/>
      </c>
      <c r="AH77" s="23">
        <f>AH76*$G$18</f>
        <v/>
      </c>
      <c r="AI77" s="23">
        <f>AI76*$G$18</f>
        <v/>
      </c>
      <c r="AJ77" s="23">
        <f>AJ76*$G$18</f>
        <v/>
      </c>
      <c r="AK77" s="23">
        <f>AK76*$G$18</f>
        <v/>
      </c>
      <c r="AL77" s="23">
        <f>AL76*$G$18</f>
        <v/>
      </c>
      <c r="AM77" s="23">
        <f>AM76*$G$18</f>
        <v/>
      </c>
      <c r="AN77" s="23">
        <f>AN76*$G$18</f>
        <v/>
      </c>
      <c r="AO77" s="23">
        <f>AO76*$G$18</f>
        <v/>
      </c>
      <c r="AP77" s="23">
        <f>AP76*$G$18</f>
        <v/>
      </c>
      <c r="AQ77" s="23">
        <f>AQ76*$G$18</f>
        <v/>
      </c>
      <c r="AR77" s="23">
        <f>AR76*$G$18</f>
        <v/>
      </c>
      <c r="AS77" s="23">
        <f>AS76*$G$18</f>
        <v/>
      </c>
      <c r="AT77" s="23">
        <f>AT76*$G$18</f>
        <v/>
      </c>
      <c r="AU77" s="23">
        <f>AU76*$G$18</f>
        <v/>
      </c>
      <c r="AV77" s="23">
        <f>AV76*$G$18</f>
        <v/>
      </c>
      <c r="AW77" s="23">
        <f>AW76*$G$18</f>
        <v/>
      </c>
      <c r="AX77" s="23">
        <f>AX76*$G$18</f>
        <v/>
      </c>
      <c r="AY77" s="23">
        <f>AY76*$G$18</f>
        <v/>
      </c>
      <c r="AZ77" s="23">
        <f>AZ76*$G$18</f>
        <v/>
      </c>
      <c r="BA77" s="23">
        <f>BA76*$G$18</f>
        <v/>
      </c>
      <c r="BB77" s="23">
        <f>BB76*$G$18</f>
        <v/>
      </c>
    </row>
    <row r="78">
      <c r="A78" s="21" t="inlineStr">
        <is>
          <t>Available to sell</t>
        </is>
      </c>
      <c r="B78" s="4" t="inlineStr">
        <is>
          <t>lb</t>
        </is>
      </c>
      <c r="C78" s="23">
        <f>C76-C77+C75</f>
        <v/>
      </c>
      <c r="D78" s="23">
        <f>D76-D77+D75</f>
        <v/>
      </c>
      <c r="E78" s="23">
        <f>E76-E77+E75</f>
        <v/>
      </c>
      <c r="F78" s="23">
        <f>F76-F77+F75</f>
        <v/>
      </c>
      <c r="G78" s="23">
        <f>G76-G77+G75</f>
        <v/>
      </c>
      <c r="H78" s="23">
        <f>H76-H77+H75</f>
        <v/>
      </c>
      <c r="I78" s="23">
        <f>I76-I77+I75</f>
        <v/>
      </c>
      <c r="J78" s="23">
        <f>J76-J77+J75</f>
        <v/>
      </c>
      <c r="K78" s="23">
        <f>K76-K77+K75</f>
        <v/>
      </c>
      <c r="L78" s="23">
        <f>L76-L77+L75</f>
        <v/>
      </c>
      <c r="M78" s="23">
        <f>M76-M77+M75</f>
        <v/>
      </c>
      <c r="N78" s="23">
        <f>N76-N77+N75</f>
        <v/>
      </c>
      <c r="O78" s="23">
        <f>O76-O77+O75</f>
        <v/>
      </c>
      <c r="P78" s="23">
        <f>P76-P77+P75</f>
        <v/>
      </c>
      <c r="Q78" s="23">
        <f>Q76-Q77+Q75</f>
        <v/>
      </c>
      <c r="R78" s="23">
        <f>R76-R77+R75</f>
        <v/>
      </c>
      <c r="S78" s="23">
        <f>S76-S77+S75</f>
        <v/>
      </c>
      <c r="T78" s="23">
        <f>T76-T77+T75</f>
        <v/>
      </c>
      <c r="U78" s="23">
        <f>U76-U77+U75</f>
        <v/>
      </c>
      <c r="V78" s="23">
        <f>V76-V77+V75</f>
        <v/>
      </c>
      <c r="W78" s="23">
        <f>W76-W77+W75</f>
        <v/>
      </c>
      <c r="X78" s="23">
        <f>X76-X77+X75</f>
        <v/>
      </c>
      <c r="Y78" s="23">
        <f>Y76-Y77+Y75</f>
        <v/>
      </c>
      <c r="Z78" s="23">
        <f>Z76-Z77+Z75</f>
        <v/>
      </c>
      <c r="AA78" s="23">
        <f>AA76-AA77+AA75</f>
        <v/>
      </c>
      <c r="AB78" s="23">
        <f>AB76-AB77+AB75</f>
        <v/>
      </c>
      <c r="AC78" s="23">
        <f>AC76-AC77+AC75</f>
        <v/>
      </c>
      <c r="AD78" s="23">
        <f>AD76-AD77+AD75</f>
        <v/>
      </c>
      <c r="AE78" s="23">
        <f>AE76-AE77+AE75</f>
        <v/>
      </c>
      <c r="AF78" s="23">
        <f>AF76-AF77+AF75</f>
        <v/>
      </c>
      <c r="AG78" s="23">
        <f>AG76-AG77+AG75</f>
        <v/>
      </c>
      <c r="AH78" s="23">
        <f>AH76-AH77+AH75</f>
        <v/>
      </c>
      <c r="AI78" s="23">
        <f>AI76-AI77+AI75</f>
        <v/>
      </c>
      <c r="AJ78" s="23">
        <f>AJ76-AJ77+AJ75</f>
        <v/>
      </c>
      <c r="AK78" s="23">
        <f>AK76-AK77+AK75</f>
        <v/>
      </c>
      <c r="AL78" s="23">
        <f>AL76-AL77+AL75</f>
        <v/>
      </c>
      <c r="AM78" s="23">
        <f>AM76-AM77+AM75</f>
        <v/>
      </c>
      <c r="AN78" s="23">
        <f>AN76-AN77+AN75</f>
        <v/>
      </c>
      <c r="AO78" s="23">
        <f>AO76-AO77+AO75</f>
        <v/>
      </c>
      <c r="AP78" s="23">
        <f>AP76-AP77+AP75</f>
        <v/>
      </c>
      <c r="AQ78" s="23">
        <f>AQ76-AQ77+AQ75</f>
        <v/>
      </c>
      <c r="AR78" s="23">
        <f>AR76-AR77+AR75</f>
        <v/>
      </c>
      <c r="AS78" s="23">
        <f>AS76-AS77+AS75</f>
        <v/>
      </c>
      <c r="AT78" s="23">
        <f>AT76-AT77+AT75</f>
        <v/>
      </c>
      <c r="AU78" s="23">
        <f>AU76-AU77+AU75</f>
        <v/>
      </c>
      <c r="AV78" s="23">
        <f>AV76-AV77+AV75</f>
        <v/>
      </c>
      <c r="AW78" s="23">
        <f>AW76-AW77+AW75</f>
        <v/>
      </c>
      <c r="AX78" s="23">
        <f>AX76-AX77+AX75</f>
        <v/>
      </c>
      <c r="AY78" s="23">
        <f>AY76-AY77+AY75</f>
        <v/>
      </c>
      <c r="AZ78" s="23">
        <f>AZ76-AZ77+AZ75</f>
        <v/>
      </c>
      <c r="BA78" s="23">
        <f>BA76-BA77+BA75</f>
        <v/>
      </c>
      <c r="BB78" s="23">
        <f>BB76-BB77+BB75</f>
        <v/>
      </c>
    </row>
    <row r="79">
      <c r="A79" s="21" t="inlineStr">
        <is>
          <t>Sold</t>
        </is>
      </c>
      <c r="B79" s="4" t="inlineStr">
        <is>
          <t>lb</t>
        </is>
      </c>
      <c r="C79" s="23">
        <f>MIN(C78,$H$18)</f>
        <v/>
      </c>
      <c r="D79" s="23">
        <f>MIN(D78,$H$18)</f>
        <v/>
      </c>
      <c r="E79" s="23">
        <f>MIN(E78,$H$18)</f>
        <v/>
      </c>
      <c r="F79" s="23">
        <f>MIN(F78,$H$18)</f>
        <v/>
      </c>
      <c r="G79" s="23">
        <f>MIN(G78,$H$18)</f>
        <v/>
      </c>
      <c r="H79" s="23">
        <f>MIN(H78,$H$18)</f>
        <v/>
      </c>
      <c r="I79" s="23">
        <f>MIN(I78,$H$18)</f>
        <v/>
      </c>
      <c r="J79" s="23">
        <f>MIN(J78,$H$18)</f>
        <v/>
      </c>
      <c r="K79" s="23">
        <f>MIN(K78,$H$18)</f>
        <v/>
      </c>
      <c r="L79" s="23">
        <f>MIN(L78,$H$18)</f>
        <v/>
      </c>
      <c r="M79" s="23">
        <f>MIN(M78,$H$18)</f>
        <v/>
      </c>
      <c r="N79" s="23">
        <f>MIN(N78,$H$18)</f>
        <v/>
      </c>
      <c r="O79" s="23">
        <f>MIN(O78,$H$18)</f>
        <v/>
      </c>
      <c r="P79" s="23">
        <f>MIN(P78,$H$18)</f>
        <v/>
      </c>
      <c r="Q79" s="23">
        <f>MIN(Q78,$H$18)</f>
        <v/>
      </c>
      <c r="R79" s="23">
        <f>MIN(R78,$H$18)</f>
        <v/>
      </c>
      <c r="S79" s="23">
        <f>MIN(S78,$H$18)</f>
        <v/>
      </c>
      <c r="T79" s="23">
        <f>MIN(T78,$H$18)</f>
        <v/>
      </c>
      <c r="U79" s="23">
        <f>MIN(U78,$H$18)</f>
        <v/>
      </c>
      <c r="V79" s="23">
        <f>MIN(V78,$H$18)</f>
        <v/>
      </c>
      <c r="W79" s="23">
        <f>MIN(W78,$H$18)</f>
        <v/>
      </c>
      <c r="X79" s="23">
        <f>MIN(X78,$H$18)</f>
        <v/>
      </c>
      <c r="Y79" s="23">
        <f>MIN(Y78,$H$18)</f>
        <v/>
      </c>
      <c r="Z79" s="23">
        <f>MIN(Z78,$H$18)</f>
        <v/>
      </c>
      <c r="AA79" s="23">
        <f>MIN(AA78,$H$18)</f>
        <v/>
      </c>
      <c r="AB79" s="23">
        <f>MIN(AB78,$H$18)</f>
        <v/>
      </c>
      <c r="AC79" s="23">
        <f>MIN(AC78,$H$18)</f>
        <v/>
      </c>
      <c r="AD79" s="23">
        <f>MIN(AD78,$H$18)</f>
        <v/>
      </c>
      <c r="AE79" s="23">
        <f>MIN(AE78,$H$18)</f>
        <v/>
      </c>
      <c r="AF79" s="23">
        <f>MIN(AF78,$H$18)</f>
        <v/>
      </c>
      <c r="AG79" s="23">
        <f>MIN(AG78,$H$18)</f>
        <v/>
      </c>
      <c r="AH79" s="23">
        <f>MIN(AH78,$H$18)</f>
        <v/>
      </c>
      <c r="AI79" s="23">
        <f>MIN(AI78,$H$18)</f>
        <v/>
      </c>
      <c r="AJ79" s="23">
        <f>MIN(AJ78,$H$18)</f>
        <v/>
      </c>
      <c r="AK79" s="23">
        <f>MIN(AK78,$H$18)</f>
        <v/>
      </c>
      <c r="AL79" s="23">
        <f>MIN(AL78,$H$18)</f>
        <v/>
      </c>
      <c r="AM79" s="23">
        <f>MIN(AM78,$H$18)</f>
        <v/>
      </c>
      <c r="AN79" s="23">
        <f>MIN(AN78,$H$18)</f>
        <v/>
      </c>
      <c r="AO79" s="23">
        <f>MIN(AO78,$H$18)</f>
        <v/>
      </c>
      <c r="AP79" s="23">
        <f>MIN(AP78,$H$18)</f>
        <v/>
      </c>
      <c r="AQ79" s="23">
        <f>MIN(AQ78,$H$18)</f>
        <v/>
      </c>
      <c r="AR79" s="23">
        <f>MIN(AR78,$H$18)</f>
        <v/>
      </c>
      <c r="AS79" s="23">
        <f>MIN(AS78,$H$18)</f>
        <v/>
      </c>
      <c r="AT79" s="23">
        <f>MIN(AT78,$H$18)</f>
        <v/>
      </c>
      <c r="AU79" s="23">
        <f>MIN(AU78,$H$18)</f>
        <v/>
      </c>
      <c r="AV79" s="23">
        <f>MIN(AV78,$H$18)</f>
        <v/>
      </c>
      <c r="AW79" s="23">
        <f>MIN(AW78,$H$18)</f>
        <v/>
      </c>
      <c r="AX79" s="23">
        <f>MIN(AX78,$H$18)</f>
        <v/>
      </c>
      <c r="AY79" s="23">
        <f>MIN(AY78,$H$18)</f>
        <v/>
      </c>
      <c r="AZ79" s="23">
        <f>MIN(AZ78,$H$18)</f>
        <v/>
      </c>
      <c r="BA79" s="23">
        <f>MIN(BA78,$H$18)</f>
        <v/>
      </c>
      <c r="BB79" s="23">
        <f>MIN(BB78,$H$18)</f>
        <v/>
      </c>
    </row>
    <row r="80">
      <c r="A80" s="3" t="inlineStr">
        <is>
          <t>Stock carried out</t>
        </is>
      </c>
      <c r="B80" s="4" t="inlineStr">
        <is>
          <t>lb</t>
        </is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  <c r="H80" s="23">
        <f>H78-H79</f>
        <v/>
      </c>
      <c r="I80" s="23">
        <f>I78-I79</f>
        <v/>
      </c>
      <c r="J80" s="23">
        <f>J78-J79</f>
        <v/>
      </c>
      <c r="K80" s="23">
        <f>K78-K79</f>
        <v/>
      </c>
      <c r="L80" s="23">
        <f>L78-L79</f>
        <v/>
      </c>
      <c r="M80" s="23">
        <f>M78-M79</f>
        <v/>
      </c>
      <c r="N80" s="23">
        <f>N78-N79</f>
        <v/>
      </c>
      <c r="O80" s="23">
        <f>O78-O79</f>
        <v/>
      </c>
      <c r="P80" s="23">
        <f>P78-P79</f>
        <v/>
      </c>
      <c r="Q80" s="23">
        <f>Q78-Q79</f>
        <v/>
      </c>
      <c r="R80" s="23">
        <f>R78-R79</f>
        <v/>
      </c>
      <c r="S80" s="23">
        <f>S78-S79</f>
        <v/>
      </c>
      <c r="T80" s="23">
        <f>T78-T79</f>
        <v/>
      </c>
      <c r="U80" s="23">
        <f>U78-U79</f>
        <v/>
      </c>
      <c r="V80" s="23">
        <f>V78-V79</f>
        <v/>
      </c>
      <c r="W80" s="23">
        <f>W78-W79</f>
        <v/>
      </c>
      <c r="X80" s="23">
        <f>X78-X79</f>
        <v/>
      </c>
      <c r="Y80" s="23">
        <f>Y78-Y79</f>
        <v/>
      </c>
      <c r="Z80" s="23">
        <f>Z78-Z79</f>
        <v/>
      </c>
      <c r="AA80" s="23">
        <f>AA78-AA79</f>
        <v/>
      </c>
      <c r="AB80" s="23">
        <f>AB78-AB79</f>
        <v/>
      </c>
      <c r="AC80" s="23">
        <f>AC78-AC79</f>
        <v/>
      </c>
      <c r="AD80" s="23">
        <f>AD78-AD79</f>
        <v/>
      </c>
      <c r="AE80" s="23">
        <f>AE78-AE79</f>
        <v/>
      </c>
      <c r="AF80" s="23">
        <f>AF78-AF79</f>
        <v/>
      </c>
      <c r="AG80" s="23">
        <f>AG78-AG79</f>
        <v/>
      </c>
      <c r="AH80" s="23">
        <f>AH78-AH79</f>
        <v/>
      </c>
      <c r="AI80" s="23">
        <f>AI78-AI79</f>
        <v/>
      </c>
      <c r="AJ80" s="23">
        <f>AJ78-AJ79</f>
        <v/>
      </c>
      <c r="AK80" s="23">
        <f>AK78-AK79</f>
        <v/>
      </c>
      <c r="AL80" s="23">
        <f>AL78-AL79</f>
        <v/>
      </c>
      <c r="AM80" s="23">
        <f>AM78-AM79</f>
        <v/>
      </c>
      <c r="AN80" s="23">
        <f>AN78-AN79</f>
        <v/>
      </c>
      <c r="AO80" s="23">
        <f>AO78-AO79</f>
        <v/>
      </c>
      <c r="AP80" s="23">
        <f>AP78-AP79</f>
        <v/>
      </c>
      <c r="AQ80" s="23">
        <f>AQ78-AQ79</f>
        <v/>
      </c>
      <c r="AR80" s="23">
        <f>AR78-AR79</f>
        <v/>
      </c>
      <c r="AS80" s="23">
        <f>AS78-AS79</f>
        <v/>
      </c>
      <c r="AT80" s="23">
        <f>AT78-AT79</f>
        <v/>
      </c>
      <c r="AU80" s="23">
        <f>AU78-AU79</f>
        <v/>
      </c>
      <c r="AV80" s="23">
        <f>AV78-AV79</f>
        <v/>
      </c>
      <c r="AW80" s="23">
        <f>AW78-AW79</f>
        <v/>
      </c>
      <c r="AX80" s="23">
        <f>AX78-AX79</f>
        <v/>
      </c>
      <c r="AY80" s="23">
        <f>AY78-AY79</f>
        <v/>
      </c>
      <c r="AZ80" s="23">
        <f>AZ78-AZ79</f>
        <v/>
      </c>
      <c r="BA80" s="23">
        <f>BA78-BA79</f>
        <v/>
      </c>
      <c r="BB80" s="23">
        <f>BB78-BB79</f>
        <v/>
      </c>
    </row>
    <row r="81">
      <c r="A81" s="3" t="inlineStr">
        <is>
          <t>ROOM OCCUPANCY</t>
        </is>
      </c>
      <c r="B81" s="4" t="inlineStr">
        <is>
          <t>m3</t>
        </is>
      </c>
      <c r="C81" s="29">
        <f>(C76+C75)*$D$18</f>
        <v/>
      </c>
      <c r="D81" s="29">
        <f>(D76+D75)*$D$18</f>
        <v/>
      </c>
      <c r="E81" s="29">
        <f>(E76+E75)*$D$18</f>
        <v/>
      </c>
      <c r="F81" s="29">
        <f>(F76+F75)*$D$18</f>
        <v/>
      </c>
      <c r="G81" s="29">
        <f>(G76+G75)*$D$18</f>
        <v/>
      </c>
      <c r="H81" s="29">
        <f>(H76+H75)*$D$18</f>
        <v/>
      </c>
      <c r="I81" s="29">
        <f>(I76+I75)*$D$18</f>
        <v/>
      </c>
      <c r="J81" s="29">
        <f>(J76+J75)*$D$18</f>
        <v/>
      </c>
      <c r="K81" s="29">
        <f>(K76+K75)*$D$18</f>
        <v/>
      </c>
      <c r="L81" s="29">
        <f>(L76+L75)*$D$18</f>
        <v/>
      </c>
      <c r="M81" s="29">
        <f>(M76+M75)*$D$18</f>
        <v/>
      </c>
      <c r="N81" s="29">
        <f>(N76+N75)*$D$18</f>
        <v/>
      </c>
      <c r="O81" s="29">
        <f>(O76+O75)*$D$18</f>
        <v/>
      </c>
      <c r="P81" s="29">
        <f>(P76+P75)*$D$18</f>
        <v/>
      </c>
      <c r="Q81" s="29">
        <f>(Q76+Q75)*$D$18</f>
        <v/>
      </c>
      <c r="R81" s="29">
        <f>(R76+R75)*$D$18</f>
        <v/>
      </c>
      <c r="S81" s="29">
        <f>(S76+S75)*$D$18</f>
        <v/>
      </c>
      <c r="T81" s="29">
        <f>(T76+T75)*$D$18</f>
        <v/>
      </c>
      <c r="U81" s="29">
        <f>(U76+U75)*$D$18</f>
        <v/>
      </c>
      <c r="V81" s="29">
        <f>(V76+V75)*$D$18</f>
        <v/>
      </c>
      <c r="W81" s="29">
        <f>(W76+W75)*$D$18</f>
        <v/>
      </c>
      <c r="X81" s="29">
        <f>(X76+X75)*$D$18</f>
        <v/>
      </c>
      <c r="Y81" s="29">
        <f>(Y76+Y75)*$D$18</f>
        <v/>
      </c>
      <c r="Z81" s="29">
        <f>(Z76+Z75)*$D$18</f>
        <v/>
      </c>
      <c r="AA81" s="29">
        <f>(AA76+AA75)*$D$18</f>
        <v/>
      </c>
      <c r="AB81" s="29">
        <f>(AB76+AB75)*$D$18</f>
        <v/>
      </c>
      <c r="AC81" s="29">
        <f>(AC76+AC75)*$D$18</f>
        <v/>
      </c>
      <c r="AD81" s="29">
        <f>(AD76+AD75)*$D$18</f>
        <v/>
      </c>
      <c r="AE81" s="29">
        <f>(AE76+AE75)*$D$18</f>
        <v/>
      </c>
      <c r="AF81" s="29">
        <f>(AF76+AF75)*$D$18</f>
        <v/>
      </c>
      <c r="AG81" s="29">
        <f>(AG76+AG75)*$D$18</f>
        <v/>
      </c>
      <c r="AH81" s="29">
        <f>(AH76+AH75)*$D$18</f>
        <v/>
      </c>
      <c r="AI81" s="29">
        <f>(AI76+AI75)*$D$18</f>
        <v/>
      </c>
      <c r="AJ81" s="29">
        <f>(AJ76+AJ75)*$D$18</f>
        <v/>
      </c>
      <c r="AK81" s="29">
        <f>(AK76+AK75)*$D$18</f>
        <v/>
      </c>
      <c r="AL81" s="29">
        <f>(AL76+AL75)*$D$18</f>
        <v/>
      </c>
      <c r="AM81" s="29">
        <f>(AM76+AM75)*$D$18</f>
        <v/>
      </c>
      <c r="AN81" s="29">
        <f>(AN76+AN75)*$D$18</f>
        <v/>
      </c>
      <c r="AO81" s="29">
        <f>(AO76+AO75)*$D$18</f>
        <v/>
      </c>
      <c r="AP81" s="29">
        <f>(AP76+AP75)*$D$18</f>
        <v/>
      </c>
      <c r="AQ81" s="29">
        <f>(AQ76+AQ75)*$D$18</f>
        <v/>
      </c>
      <c r="AR81" s="29">
        <f>(AR76+AR75)*$D$18</f>
        <v/>
      </c>
      <c r="AS81" s="29">
        <f>(AS76+AS75)*$D$18</f>
        <v/>
      </c>
      <c r="AT81" s="29">
        <f>(AT76+AT75)*$D$18</f>
        <v/>
      </c>
      <c r="AU81" s="29">
        <f>(AU76+AU75)*$D$18</f>
        <v/>
      </c>
      <c r="AV81" s="29">
        <f>(AV76+AV75)*$D$18</f>
        <v/>
      </c>
      <c r="AW81" s="29">
        <f>(AW76+AW75)*$D$18</f>
        <v/>
      </c>
      <c r="AX81" s="29">
        <f>(AX76+AX75)*$D$18</f>
        <v/>
      </c>
      <c r="AY81" s="29">
        <f>(AY76+AY75)*$D$18</f>
        <v/>
      </c>
      <c r="AZ81" s="29">
        <f>(AZ76+AZ75)*$D$18</f>
        <v/>
      </c>
      <c r="BA81" s="29">
        <f>(BA76+BA75)*$D$18</f>
        <v/>
      </c>
      <c r="BB81" s="29">
        <f>(BB76+BB75)*$D$18</f>
        <v/>
      </c>
    </row>
    <row r="82">
      <c r="A82" s="4" t="inlineStr">
        <is>
          <t xml:space="preserve">   = carried in + ALL of this week's harvest, before any of it ships</t>
        </is>
      </c>
    </row>
    <row r="83">
      <c r="A83" s="21" t="inlineStr">
        <is>
          <t>Over shelf life?</t>
        </is>
      </c>
      <c r="B83" s="4" t="inlineStr">
        <is>
          <t>lb</t>
        </is>
      </c>
      <c r="C83" s="23">
        <f>MAX(0,C80-SUMIFS($C$75:$BB$75,$C$26:$BB$26,"&gt;="&amp;C$26-$F$18+2,$C$26:$BB$26,"&lt;="&amp;C$26))</f>
        <v/>
      </c>
      <c r="D83" s="23">
        <f>MAX(0,D80-SUMIFS($C$75:$BB$75,$C$26:$BB$26,"&gt;="&amp;D$26-$F$18+2,$C$26:$BB$26,"&lt;="&amp;D$26))</f>
        <v/>
      </c>
      <c r="E83" s="23">
        <f>MAX(0,E80-SUMIFS($C$75:$BB$75,$C$26:$BB$26,"&gt;="&amp;E$26-$F$18+2,$C$26:$BB$26,"&lt;="&amp;E$26))</f>
        <v/>
      </c>
      <c r="F83" s="23">
        <f>MAX(0,F80-SUMIFS($C$75:$BB$75,$C$26:$BB$26,"&gt;="&amp;F$26-$F$18+2,$C$26:$BB$26,"&lt;="&amp;F$26))</f>
        <v/>
      </c>
      <c r="G83" s="23">
        <f>MAX(0,G80-SUMIFS($C$75:$BB$75,$C$26:$BB$26,"&gt;="&amp;G$26-$F$18+2,$C$26:$BB$26,"&lt;="&amp;G$26))</f>
        <v/>
      </c>
      <c r="H83" s="23">
        <f>MAX(0,H80-SUMIFS($C$75:$BB$75,$C$26:$BB$26,"&gt;="&amp;H$26-$F$18+2,$C$26:$BB$26,"&lt;="&amp;H$26))</f>
        <v/>
      </c>
      <c r="I83" s="23">
        <f>MAX(0,I80-SUMIFS($C$75:$BB$75,$C$26:$BB$26,"&gt;="&amp;I$26-$F$18+2,$C$26:$BB$26,"&lt;="&amp;I$26))</f>
        <v/>
      </c>
      <c r="J83" s="23">
        <f>MAX(0,J80-SUMIFS($C$75:$BB$75,$C$26:$BB$26,"&gt;="&amp;J$26-$F$18+2,$C$26:$BB$26,"&lt;="&amp;J$26))</f>
        <v/>
      </c>
      <c r="K83" s="23">
        <f>MAX(0,K80-SUMIFS($C$75:$BB$75,$C$26:$BB$26,"&gt;="&amp;K$26-$F$18+2,$C$26:$BB$26,"&lt;="&amp;K$26))</f>
        <v/>
      </c>
      <c r="L83" s="23">
        <f>MAX(0,L80-SUMIFS($C$75:$BB$75,$C$26:$BB$26,"&gt;="&amp;L$26-$F$18+2,$C$26:$BB$26,"&lt;="&amp;L$26))</f>
        <v/>
      </c>
      <c r="M83" s="23">
        <f>MAX(0,M80-SUMIFS($C$75:$BB$75,$C$26:$BB$26,"&gt;="&amp;M$26-$F$18+2,$C$26:$BB$26,"&lt;="&amp;M$26))</f>
        <v/>
      </c>
      <c r="N83" s="23">
        <f>MAX(0,N80-SUMIFS($C$75:$BB$75,$C$26:$BB$26,"&gt;="&amp;N$26-$F$18+2,$C$26:$BB$26,"&lt;="&amp;N$26))</f>
        <v/>
      </c>
      <c r="O83" s="23">
        <f>MAX(0,O80-SUMIFS($C$75:$BB$75,$C$26:$BB$26,"&gt;="&amp;O$26-$F$18+2,$C$26:$BB$26,"&lt;="&amp;O$26))</f>
        <v/>
      </c>
      <c r="P83" s="23">
        <f>MAX(0,P80-SUMIFS($C$75:$BB$75,$C$26:$BB$26,"&gt;="&amp;P$26-$F$18+2,$C$26:$BB$26,"&lt;="&amp;P$26))</f>
        <v/>
      </c>
      <c r="Q83" s="23">
        <f>MAX(0,Q80-SUMIFS($C$75:$BB$75,$C$26:$BB$26,"&gt;="&amp;Q$26-$F$18+2,$C$26:$BB$26,"&lt;="&amp;Q$26))</f>
        <v/>
      </c>
      <c r="R83" s="23">
        <f>MAX(0,R80-SUMIFS($C$75:$BB$75,$C$26:$BB$26,"&gt;="&amp;R$26-$F$18+2,$C$26:$BB$26,"&lt;="&amp;R$26))</f>
        <v/>
      </c>
      <c r="S83" s="23">
        <f>MAX(0,S80-SUMIFS($C$75:$BB$75,$C$26:$BB$26,"&gt;="&amp;S$26-$F$18+2,$C$26:$BB$26,"&lt;="&amp;S$26))</f>
        <v/>
      </c>
      <c r="T83" s="23">
        <f>MAX(0,T80-SUMIFS($C$75:$BB$75,$C$26:$BB$26,"&gt;="&amp;T$26-$F$18+2,$C$26:$BB$26,"&lt;="&amp;T$26))</f>
        <v/>
      </c>
      <c r="U83" s="23">
        <f>MAX(0,U80-SUMIFS($C$75:$BB$75,$C$26:$BB$26,"&gt;="&amp;U$26-$F$18+2,$C$26:$BB$26,"&lt;="&amp;U$26))</f>
        <v/>
      </c>
      <c r="V83" s="23">
        <f>MAX(0,V80-SUMIFS($C$75:$BB$75,$C$26:$BB$26,"&gt;="&amp;V$26-$F$18+2,$C$26:$BB$26,"&lt;="&amp;V$26))</f>
        <v/>
      </c>
      <c r="W83" s="23">
        <f>MAX(0,W80-SUMIFS($C$75:$BB$75,$C$26:$BB$26,"&gt;="&amp;W$26-$F$18+2,$C$26:$BB$26,"&lt;="&amp;W$26))</f>
        <v/>
      </c>
      <c r="X83" s="23">
        <f>MAX(0,X80-SUMIFS($C$75:$BB$75,$C$26:$BB$26,"&gt;="&amp;X$26-$F$18+2,$C$26:$BB$26,"&lt;="&amp;X$26))</f>
        <v/>
      </c>
      <c r="Y83" s="23">
        <f>MAX(0,Y80-SUMIFS($C$75:$BB$75,$C$26:$BB$26,"&gt;="&amp;Y$26-$F$18+2,$C$26:$BB$26,"&lt;="&amp;Y$26))</f>
        <v/>
      </c>
      <c r="Z83" s="23">
        <f>MAX(0,Z80-SUMIFS($C$75:$BB$75,$C$26:$BB$26,"&gt;="&amp;Z$26-$F$18+2,$C$26:$BB$26,"&lt;="&amp;Z$26))</f>
        <v/>
      </c>
      <c r="AA83" s="23">
        <f>MAX(0,AA80-SUMIFS($C$75:$BB$75,$C$26:$BB$26,"&gt;="&amp;AA$26-$F$18+2,$C$26:$BB$26,"&lt;="&amp;AA$26))</f>
        <v/>
      </c>
      <c r="AB83" s="23">
        <f>MAX(0,AB80-SUMIFS($C$75:$BB$75,$C$26:$BB$26,"&gt;="&amp;AB$26-$F$18+2,$C$26:$BB$26,"&lt;="&amp;AB$26))</f>
        <v/>
      </c>
      <c r="AC83" s="23">
        <f>MAX(0,AC80-SUMIFS($C$75:$BB$75,$C$26:$BB$26,"&gt;="&amp;AC$26-$F$18+2,$C$26:$BB$26,"&lt;="&amp;AC$26))</f>
        <v/>
      </c>
      <c r="AD83" s="23">
        <f>MAX(0,AD80-SUMIFS($C$75:$BB$75,$C$26:$BB$26,"&gt;="&amp;AD$26-$F$18+2,$C$26:$BB$26,"&lt;="&amp;AD$26))</f>
        <v/>
      </c>
      <c r="AE83" s="23">
        <f>MAX(0,AE80-SUMIFS($C$75:$BB$75,$C$26:$BB$26,"&gt;="&amp;AE$26-$F$18+2,$C$26:$BB$26,"&lt;="&amp;AE$26))</f>
        <v/>
      </c>
      <c r="AF83" s="23">
        <f>MAX(0,AF80-SUMIFS($C$75:$BB$75,$C$26:$BB$26,"&gt;="&amp;AF$26-$F$18+2,$C$26:$BB$26,"&lt;="&amp;AF$26))</f>
        <v/>
      </c>
      <c r="AG83" s="23">
        <f>MAX(0,AG80-SUMIFS($C$75:$BB$75,$C$26:$BB$26,"&gt;="&amp;AG$26-$F$18+2,$C$26:$BB$26,"&lt;="&amp;AG$26))</f>
        <v/>
      </c>
      <c r="AH83" s="23">
        <f>MAX(0,AH80-SUMIFS($C$75:$BB$75,$C$26:$BB$26,"&gt;="&amp;AH$26-$F$18+2,$C$26:$BB$26,"&lt;="&amp;AH$26))</f>
        <v/>
      </c>
      <c r="AI83" s="23">
        <f>MAX(0,AI80-SUMIFS($C$75:$BB$75,$C$26:$BB$26,"&gt;="&amp;AI$26-$F$18+2,$C$26:$BB$26,"&lt;="&amp;AI$26))</f>
        <v/>
      </c>
      <c r="AJ83" s="23">
        <f>MAX(0,AJ80-SUMIFS($C$75:$BB$75,$C$26:$BB$26,"&gt;="&amp;AJ$26-$F$18+2,$C$26:$BB$26,"&lt;="&amp;AJ$26))</f>
        <v/>
      </c>
      <c r="AK83" s="23">
        <f>MAX(0,AK80-SUMIFS($C$75:$BB$75,$C$26:$BB$26,"&gt;="&amp;AK$26-$F$18+2,$C$26:$BB$26,"&lt;="&amp;AK$26))</f>
        <v/>
      </c>
      <c r="AL83" s="23">
        <f>MAX(0,AL80-SUMIFS($C$75:$BB$75,$C$26:$BB$26,"&gt;="&amp;AL$26-$F$18+2,$C$26:$BB$26,"&lt;="&amp;AL$26))</f>
        <v/>
      </c>
      <c r="AM83" s="23">
        <f>MAX(0,AM80-SUMIFS($C$75:$BB$75,$C$26:$BB$26,"&gt;="&amp;AM$26-$F$18+2,$C$26:$BB$26,"&lt;="&amp;AM$26))</f>
        <v/>
      </c>
      <c r="AN83" s="23">
        <f>MAX(0,AN80-SUMIFS($C$75:$BB$75,$C$26:$BB$26,"&gt;="&amp;AN$26-$F$18+2,$C$26:$BB$26,"&lt;="&amp;AN$26))</f>
        <v/>
      </c>
      <c r="AO83" s="23">
        <f>MAX(0,AO80-SUMIFS($C$75:$BB$75,$C$26:$BB$26,"&gt;="&amp;AO$26-$F$18+2,$C$26:$BB$26,"&lt;="&amp;AO$26))</f>
        <v/>
      </c>
      <c r="AP83" s="23">
        <f>MAX(0,AP80-SUMIFS($C$75:$BB$75,$C$26:$BB$26,"&gt;="&amp;AP$26-$F$18+2,$C$26:$BB$26,"&lt;="&amp;AP$26))</f>
        <v/>
      </c>
      <c r="AQ83" s="23">
        <f>MAX(0,AQ80-SUMIFS($C$75:$BB$75,$C$26:$BB$26,"&gt;="&amp;AQ$26-$F$18+2,$C$26:$BB$26,"&lt;="&amp;AQ$26))</f>
        <v/>
      </c>
      <c r="AR83" s="23">
        <f>MAX(0,AR80-SUMIFS($C$75:$BB$75,$C$26:$BB$26,"&gt;="&amp;AR$26-$F$18+2,$C$26:$BB$26,"&lt;="&amp;AR$26))</f>
        <v/>
      </c>
      <c r="AS83" s="23">
        <f>MAX(0,AS80-SUMIFS($C$75:$BB$75,$C$26:$BB$26,"&gt;="&amp;AS$26-$F$18+2,$C$26:$BB$26,"&lt;="&amp;AS$26))</f>
        <v/>
      </c>
      <c r="AT83" s="23">
        <f>MAX(0,AT80-SUMIFS($C$75:$BB$75,$C$26:$BB$26,"&gt;="&amp;AT$26-$F$18+2,$C$26:$BB$26,"&lt;="&amp;AT$26))</f>
        <v/>
      </c>
      <c r="AU83" s="23">
        <f>MAX(0,AU80-SUMIFS($C$75:$BB$75,$C$26:$BB$26,"&gt;="&amp;AU$26-$F$18+2,$C$26:$BB$26,"&lt;="&amp;AU$26))</f>
        <v/>
      </c>
      <c r="AV83" s="23">
        <f>MAX(0,AV80-SUMIFS($C$75:$BB$75,$C$26:$BB$26,"&gt;="&amp;AV$26-$F$18+2,$C$26:$BB$26,"&lt;="&amp;AV$26))</f>
        <v/>
      </c>
      <c r="AW83" s="23">
        <f>MAX(0,AW80-SUMIFS($C$75:$BB$75,$C$26:$BB$26,"&gt;="&amp;AW$26-$F$18+2,$C$26:$BB$26,"&lt;="&amp;AW$26))</f>
        <v/>
      </c>
      <c r="AX83" s="23">
        <f>MAX(0,AX80-SUMIFS($C$75:$BB$75,$C$26:$BB$26,"&gt;="&amp;AX$26-$F$18+2,$C$26:$BB$26,"&lt;="&amp;AX$26))</f>
        <v/>
      </c>
      <c r="AY83" s="23">
        <f>MAX(0,AY80-SUMIFS($C$75:$BB$75,$C$26:$BB$26,"&gt;="&amp;AY$26-$F$18+2,$C$26:$BB$26,"&lt;="&amp;AY$26))</f>
        <v/>
      </c>
      <c r="AZ83" s="23">
        <f>MAX(0,AZ80-SUMIFS($C$75:$BB$75,$C$26:$BB$26,"&gt;="&amp;AZ$26-$F$18+2,$C$26:$BB$26,"&lt;="&amp;AZ$26))</f>
        <v/>
      </c>
      <c r="BA83" s="23">
        <f>MAX(0,BA80-SUMIFS($C$75:$BB$75,$C$26:$BB$26,"&gt;="&amp;BA$26-$F$18+2,$C$26:$BB$26,"&lt;="&amp;BA$26))</f>
        <v/>
      </c>
      <c r="BB83" s="23">
        <f>MAX(0,BB80-SUMIFS($C$75:$BB$75,$C$26:$BB$26,"&gt;="&amp;BB$26-$F$18+2,$C$26:$BB$26,"&lt;="&amp;BB$26))</f>
        <v/>
      </c>
    </row>
    <row r="84">
      <c r="A84" s="4" t="inlineStr">
        <is>
          <t xml:space="preserve">   stock older than its shelf life — a WARNING here, a hard constraint in the app</t>
        </is>
      </c>
    </row>
    <row r="86">
      <c r="A86" s="2" t="inlineStr">
        <is>
          <t>5 — THE TWO STORES</t>
        </is>
      </c>
    </row>
    <row r="87">
      <c r="A87" s="4" t="inlineStr">
        <is>
          <t>Same three-row shape as LAND above, and as 'Available Land / &lt;= / 1' in the original Group 5 model. Read each block downwards: it IS the inequality.</t>
        </is>
      </c>
    </row>
    <row r="88">
      <c r="A88" s="18" t="inlineStr">
        <is>
          <t>Week</t>
        </is>
      </c>
      <c r="B88" s="19" t="inlineStr">
        <is>
          <t>m3</t>
        </is>
      </c>
      <c r="C88" s="20" t="n">
        <v>1</v>
      </c>
      <c r="D88" s="20" t="n">
        <v>2</v>
      </c>
      <c r="E88" s="20" t="n">
        <v>3</v>
      </c>
      <c r="F88" s="20" t="n">
        <v>4</v>
      </c>
      <c r="G88" s="20" t="n">
        <v>5</v>
      </c>
      <c r="H88" s="20" t="n">
        <v>6</v>
      </c>
      <c r="I88" s="20" t="n">
        <v>7</v>
      </c>
      <c r="J88" s="20" t="n">
        <v>8</v>
      </c>
      <c r="K88" s="20" t="n">
        <v>9</v>
      </c>
      <c r="L88" s="20" t="n">
        <v>10</v>
      </c>
      <c r="M88" s="20" t="n">
        <v>11</v>
      </c>
      <c r="N88" s="20" t="n">
        <v>12</v>
      </c>
      <c r="O88" s="20" t="n">
        <v>13</v>
      </c>
      <c r="P88" s="20" t="n">
        <v>14</v>
      </c>
      <c r="Q88" s="20" t="n">
        <v>15</v>
      </c>
      <c r="R88" s="20" t="n">
        <v>16</v>
      </c>
      <c r="S88" s="20" t="n">
        <v>17</v>
      </c>
      <c r="T88" s="20" t="n">
        <v>18</v>
      </c>
      <c r="U88" s="20" t="n">
        <v>19</v>
      </c>
      <c r="V88" s="20" t="n">
        <v>20</v>
      </c>
      <c r="W88" s="20" t="n">
        <v>21</v>
      </c>
      <c r="X88" s="20" t="n">
        <v>22</v>
      </c>
      <c r="Y88" s="20" t="n">
        <v>23</v>
      </c>
      <c r="Z88" s="20" t="n">
        <v>24</v>
      </c>
      <c r="AA88" s="20" t="n">
        <v>25</v>
      </c>
      <c r="AB88" s="20" t="n">
        <v>26</v>
      </c>
      <c r="AC88" s="20" t="n">
        <v>27</v>
      </c>
      <c r="AD88" s="20" t="n">
        <v>28</v>
      </c>
      <c r="AE88" s="20" t="n">
        <v>29</v>
      </c>
      <c r="AF88" s="20" t="n">
        <v>30</v>
      </c>
      <c r="AG88" s="20" t="n">
        <v>31</v>
      </c>
      <c r="AH88" s="20" t="n">
        <v>32</v>
      </c>
      <c r="AI88" s="20" t="n">
        <v>33</v>
      </c>
      <c r="AJ88" s="20" t="n">
        <v>34</v>
      </c>
      <c r="AK88" s="20" t="n">
        <v>35</v>
      </c>
      <c r="AL88" s="20" t="n">
        <v>36</v>
      </c>
      <c r="AM88" s="20" t="n">
        <v>37</v>
      </c>
      <c r="AN88" s="20" t="n">
        <v>38</v>
      </c>
      <c r="AO88" s="20" t="n">
        <v>39</v>
      </c>
      <c r="AP88" s="20" t="n">
        <v>40</v>
      </c>
      <c r="AQ88" s="20" t="n">
        <v>41</v>
      </c>
      <c r="AR88" s="20" t="n">
        <v>42</v>
      </c>
      <c r="AS88" s="20" t="n">
        <v>43</v>
      </c>
      <c r="AT88" s="20" t="n">
        <v>44</v>
      </c>
      <c r="AU88" s="20" t="n">
        <v>45</v>
      </c>
      <c r="AV88" s="20" t="n">
        <v>46</v>
      </c>
      <c r="AW88" s="20" t="n">
        <v>47</v>
      </c>
      <c r="AX88" s="20" t="n">
        <v>48</v>
      </c>
      <c r="AY88" s="20" t="n">
        <v>49</v>
      </c>
      <c r="AZ88" s="20" t="n">
        <v>50</v>
      </c>
      <c r="BA88" s="20" t="n">
        <v>51</v>
      </c>
      <c r="BB88" s="20" t="n">
        <v>52</v>
      </c>
    </row>
    <row r="89">
      <c r="A89" s="30" t="inlineStr">
        <is>
          <t>COLD STORE</t>
        </is>
      </c>
      <c r="B89" s="4" t="inlineStr">
        <is>
          <t>used</t>
        </is>
      </c>
      <c r="C89" s="27">
        <f>C55+C68</f>
        <v/>
      </c>
      <c r="D89" s="27">
        <f>D55+D68</f>
        <v/>
      </c>
      <c r="E89" s="27">
        <f>E55+E68</f>
        <v/>
      </c>
      <c r="F89" s="27">
        <f>F55+F68</f>
        <v/>
      </c>
      <c r="G89" s="27">
        <f>G55+G68</f>
        <v/>
      </c>
      <c r="H89" s="27">
        <f>H55+H68</f>
        <v/>
      </c>
      <c r="I89" s="27">
        <f>I55+I68</f>
        <v/>
      </c>
      <c r="J89" s="27">
        <f>J55+J68</f>
        <v/>
      </c>
      <c r="K89" s="27">
        <f>K55+K68</f>
        <v/>
      </c>
      <c r="L89" s="27">
        <f>L55+L68</f>
        <v/>
      </c>
      <c r="M89" s="27">
        <f>M55+M68</f>
        <v/>
      </c>
      <c r="N89" s="27">
        <f>N55+N68</f>
        <v/>
      </c>
      <c r="O89" s="27">
        <f>O55+O68</f>
        <v/>
      </c>
      <c r="P89" s="27">
        <f>P55+P68</f>
        <v/>
      </c>
      <c r="Q89" s="27">
        <f>Q55+Q68</f>
        <v/>
      </c>
      <c r="R89" s="27">
        <f>R55+R68</f>
        <v/>
      </c>
      <c r="S89" s="27">
        <f>S55+S68</f>
        <v/>
      </c>
      <c r="T89" s="27">
        <f>T55+T68</f>
        <v/>
      </c>
      <c r="U89" s="27">
        <f>U55+U68</f>
        <v/>
      </c>
      <c r="V89" s="27">
        <f>V55+V68</f>
        <v/>
      </c>
      <c r="W89" s="27">
        <f>W55+W68</f>
        <v/>
      </c>
      <c r="X89" s="27">
        <f>X55+X68</f>
        <v/>
      </c>
      <c r="Y89" s="27">
        <f>Y55+Y68</f>
        <v/>
      </c>
      <c r="Z89" s="27">
        <f>Z55+Z68</f>
        <v/>
      </c>
      <c r="AA89" s="27">
        <f>AA55+AA68</f>
        <v/>
      </c>
      <c r="AB89" s="27">
        <f>AB55+AB68</f>
        <v/>
      </c>
      <c r="AC89" s="27">
        <f>AC55+AC68</f>
        <v/>
      </c>
      <c r="AD89" s="27">
        <f>AD55+AD68</f>
        <v/>
      </c>
      <c r="AE89" s="27">
        <f>AE55+AE68</f>
        <v/>
      </c>
      <c r="AF89" s="27">
        <f>AF55+AF68</f>
        <v/>
      </c>
      <c r="AG89" s="27">
        <f>AG55+AG68</f>
        <v/>
      </c>
      <c r="AH89" s="27">
        <f>AH55+AH68</f>
        <v/>
      </c>
      <c r="AI89" s="27">
        <f>AI55+AI68</f>
        <v/>
      </c>
      <c r="AJ89" s="27">
        <f>AJ55+AJ68</f>
        <v/>
      </c>
      <c r="AK89" s="27">
        <f>AK55+AK68</f>
        <v/>
      </c>
      <c r="AL89" s="27">
        <f>AL55+AL68</f>
        <v/>
      </c>
      <c r="AM89" s="27">
        <f>AM55+AM68</f>
        <v/>
      </c>
      <c r="AN89" s="27">
        <f>AN55+AN68</f>
        <v/>
      </c>
      <c r="AO89" s="27">
        <f>AO55+AO68</f>
        <v/>
      </c>
      <c r="AP89" s="27">
        <f>AP55+AP68</f>
        <v/>
      </c>
      <c r="AQ89" s="27">
        <f>AQ55+AQ68</f>
        <v/>
      </c>
      <c r="AR89" s="27">
        <f>AR55+AR68</f>
        <v/>
      </c>
      <c r="AS89" s="27">
        <f>AS55+AS68</f>
        <v/>
      </c>
      <c r="AT89" s="27">
        <f>AT55+AT68</f>
        <v/>
      </c>
      <c r="AU89" s="27">
        <f>AU55+AU68</f>
        <v/>
      </c>
      <c r="AV89" s="27">
        <f>AV55+AV68</f>
        <v/>
      </c>
      <c r="AW89" s="27">
        <f>AW55+AW68</f>
        <v/>
      </c>
      <c r="AX89" s="27">
        <f>AX55+AX68</f>
        <v/>
      </c>
      <c r="AY89" s="27">
        <f>AY55+AY68</f>
        <v/>
      </c>
      <c r="AZ89" s="27">
        <f>AZ55+AZ68</f>
        <v/>
      </c>
      <c r="BA89" s="27">
        <f>BA55+BA68</f>
        <v/>
      </c>
      <c r="BB89" s="27">
        <f>BB55+BB68</f>
        <v/>
      </c>
    </row>
    <row r="90">
      <c r="A90" s="3" t="inlineStr"/>
      <c r="B90" s="4" t="inlineStr"/>
      <c r="C90" s="25" t="inlineStr">
        <is>
          <t>&lt;=</t>
        </is>
      </c>
      <c r="D90" s="25" t="inlineStr">
        <is>
          <t>&lt;=</t>
        </is>
      </c>
      <c r="E90" s="25" t="inlineStr">
        <is>
          <t>&lt;=</t>
        </is>
      </c>
      <c r="F90" s="25" t="inlineStr">
        <is>
          <t>&lt;=</t>
        </is>
      </c>
      <c r="G90" s="25" t="inlineStr">
        <is>
          <t>&lt;=</t>
        </is>
      </c>
      <c r="H90" s="25" t="inlineStr">
        <is>
          <t>&lt;=</t>
        </is>
      </c>
      <c r="I90" s="25" t="inlineStr">
        <is>
          <t>&lt;=</t>
        </is>
      </c>
      <c r="J90" s="25" t="inlineStr">
        <is>
          <t>&lt;=</t>
        </is>
      </c>
      <c r="K90" s="25" t="inlineStr">
        <is>
          <t>&lt;=</t>
        </is>
      </c>
      <c r="L90" s="25" t="inlineStr">
        <is>
          <t>&lt;=</t>
        </is>
      </c>
      <c r="M90" s="25" t="inlineStr">
        <is>
          <t>&lt;=</t>
        </is>
      </c>
      <c r="N90" s="25" t="inlineStr">
        <is>
          <t>&lt;=</t>
        </is>
      </c>
      <c r="O90" s="25" t="inlineStr">
        <is>
          <t>&lt;=</t>
        </is>
      </c>
      <c r="P90" s="25" t="inlineStr">
        <is>
          <t>&lt;=</t>
        </is>
      </c>
      <c r="Q90" s="25" t="inlineStr">
        <is>
          <t>&lt;=</t>
        </is>
      </c>
      <c r="R90" s="25" t="inlineStr">
        <is>
          <t>&lt;=</t>
        </is>
      </c>
      <c r="S90" s="25" t="inlineStr">
        <is>
          <t>&lt;=</t>
        </is>
      </c>
      <c r="T90" s="25" t="inlineStr">
        <is>
          <t>&lt;=</t>
        </is>
      </c>
      <c r="U90" s="25" t="inlineStr">
        <is>
          <t>&lt;=</t>
        </is>
      </c>
      <c r="V90" s="25" t="inlineStr">
        <is>
          <t>&lt;=</t>
        </is>
      </c>
      <c r="W90" s="25" t="inlineStr">
        <is>
          <t>&lt;=</t>
        </is>
      </c>
      <c r="X90" s="25" t="inlineStr">
        <is>
          <t>&lt;=</t>
        </is>
      </c>
      <c r="Y90" s="25" t="inlineStr">
        <is>
          <t>&lt;=</t>
        </is>
      </c>
      <c r="Z90" s="25" t="inlineStr">
        <is>
          <t>&lt;=</t>
        </is>
      </c>
      <c r="AA90" s="25" t="inlineStr">
        <is>
          <t>&lt;=</t>
        </is>
      </c>
      <c r="AB90" s="25" t="inlineStr">
        <is>
          <t>&lt;=</t>
        </is>
      </c>
      <c r="AC90" s="25" t="inlineStr">
        <is>
          <t>&lt;=</t>
        </is>
      </c>
      <c r="AD90" s="25" t="inlineStr">
        <is>
          <t>&lt;=</t>
        </is>
      </c>
      <c r="AE90" s="25" t="inlineStr">
        <is>
          <t>&lt;=</t>
        </is>
      </c>
      <c r="AF90" s="25" t="inlineStr">
        <is>
          <t>&lt;=</t>
        </is>
      </c>
      <c r="AG90" s="25" t="inlineStr">
        <is>
          <t>&lt;=</t>
        </is>
      </c>
      <c r="AH90" s="25" t="inlineStr">
        <is>
          <t>&lt;=</t>
        </is>
      </c>
      <c r="AI90" s="25" t="inlineStr">
        <is>
          <t>&lt;=</t>
        </is>
      </c>
      <c r="AJ90" s="25" t="inlineStr">
        <is>
          <t>&lt;=</t>
        </is>
      </c>
      <c r="AK90" s="25" t="inlineStr">
        <is>
          <t>&lt;=</t>
        </is>
      </c>
      <c r="AL90" s="25" t="inlineStr">
        <is>
          <t>&lt;=</t>
        </is>
      </c>
      <c r="AM90" s="25" t="inlineStr">
        <is>
          <t>&lt;=</t>
        </is>
      </c>
      <c r="AN90" s="25" t="inlineStr">
        <is>
          <t>&lt;=</t>
        </is>
      </c>
      <c r="AO90" s="25" t="inlineStr">
        <is>
          <t>&lt;=</t>
        </is>
      </c>
      <c r="AP90" s="25" t="inlineStr">
        <is>
          <t>&lt;=</t>
        </is>
      </c>
      <c r="AQ90" s="25" t="inlineStr">
        <is>
          <t>&lt;=</t>
        </is>
      </c>
      <c r="AR90" s="25" t="inlineStr">
        <is>
          <t>&lt;=</t>
        </is>
      </c>
      <c r="AS90" s="25" t="inlineStr">
        <is>
          <t>&lt;=</t>
        </is>
      </c>
      <c r="AT90" s="25" t="inlineStr">
        <is>
          <t>&lt;=</t>
        </is>
      </c>
      <c r="AU90" s="25" t="inlineStr">
        <is>
          <t>&lt;=</t>
        </is>
      </c>
      <c r="AV90" s="25" t="inlineStr">
        <is>
          <t>&lt;=</t>
        </is>
      </c>
      <c r="AW90" s="25" t="inlineStr">
        <is>
          <t>&lt;=</t>
        </is>
      </c>
      <c r="AX90" s="25" t="inlineStr">
        <is>
          <t>&lt;=</t>
        </is>
      </c>
      <c r="AY90" s="25" t="inlineStr">
        <is>
          <t>&lt;=</t>
        </is>
      </c>
      <c r="AZ90" s="25" t="inlineStr">
        <is>
          <t>&lt;=</t>
        </is>
      </c>
      <c r="BA90" s="25" t="inlineStr">
        <is>
          <t>&lt;=</t>
        </is>
      </c>
      <c r="BB90" s="25" t="inlineStr">
        <is>
          <t>&lt;=</t>
        </is>
      </c>
    </row>
    <row r="91">
      <c r="A91" s="3" t="inlineStr">
        <is>
          <t xml:space="preserve">  limit</t>
        </is>
      </c>
      <c r="B91" s="4" t="inlineStr">
        <is>
          <t>cap</t>
        </is>
      </c>
      <c r="C91" s="24">
        <f>$B$22</f>
        <v/>
      </c>
      <c r="D91" s="24">
        <f>$B$22</f>
        <v/>
      </c>
      <c r="E91" s="24">
        <f>$B$22</f>
        <v/>
      </c>
      <c r="F91" s="24">
        <f>$B$22</f>
        <v/>
      </c>
      <c r="G91" s="24">
        <f>$B$22</f>
        <v/>
      </c>
      <c r="H91" s="24">
        <f>$B$22</f>
        <v/>
      </c>
      <c r="I91" s="24">
        <f>$B$22</f>
        <v/>
      </c>
      <c r="J91" s="24">
        <f>$B$22</f>
        <v/>
      </c>
      <c r="K91" s="24">
        <f>$B$22</f>
        <v/>
      </c>
      <c r="L91" s="24">
        <f>$B$22</f>
        <v/>
      </c>
      <c r="M91" s="24">
        <f>$B$22</f>
        <v/>
      </c>
      <c r="N91" s="24">
        <f>$B$22</f>
        <v/>
      </c>
      <c r="O91" s="24">
        <f>$B$22</f>
        <v/>
      </c>
      <c r="P91" s="24">
        <f>$B$22</f>
        <v/>
      </c>
      <c r="Q91" s="24">
        <f>$B$22</f>
        <v/>
      </c>
      <c r="R91" s="24">
        <f>$B$22</f>
        <v/>
      </c>
      <c r="S91" s="24">
        <f>$B$22</f>
        <v/>
      </c>
      <c r="T91" s="24">
        <f>$B$22</f>
        <v/>
      </c>
      <c r="U91" s="24">
        <f>$B$22</f>
        <v/>
      </c>
      <c r="V91" s="24">
        <f>$B$22</f>
        <v/>
      </c>
      <c r="W91" s="24">
        <f>$B$22</f>
        <v/>
      </c>
      <c r="X91" s="24">
        <f>$B$22</f>
        <v/>
      </c>
      <c r="Y91" s="24">
        <f>$B$22</f>
        <v/>
      </c>
      <c r="Z91" s="24">
        <f>$B$22</f>
        <v/>
      </c>
      <c r="AA91" s="24">
        <f>$B$22</f>
        <v/>
      </c>
      <c r="AB91" s="24">
        <f>$B$22</f>
        <v/>
      </c>
      <c r="AC91" s="24">
        <f>$B$22</f>
        <v/>
      </c>
      <c r="AD91" s="24">
        <f>$B$22</f>
        <v/>
      </c>
      <c r="AE91" s="24">
        <f>$B$22</f>
        <v/>
      </c>
      <c r="AF91" s="24">
        <f>$B$22</f>
        <v/>
      </c>
      <c r="AG91" s="24">
        <f>$B$22</f>
        <v/>
      </c>
      <c r="AH91" s="24">
        <f>$B$22</f>
        <v/>
      </c>
      <c r="AI91" s="24">
        <f>$B$22</f>
        <v/>
      </c>
      <c r="AJ91" s="24">
        <f>$B$22</f>
        <v/>
      </c>
      <c r="AK91" s="24">
        <f>$B$22</f>
        <v/>
      </c>
      <c r="AL91" s="24">
        <f>$B$22</f>
        <v/>
      </c>
      <c r="AM91" s="24">
        <f>$B$22</f>
        <v/>
      </c>
      <c r="AN91" s="24">
        <f>$B$22</f>
        <v/>
      </c>
      <c r="AO91" s="24">
        <f>$B$22</f>
        <v/>
      </c>
      <c r="AP91" s="24">
        <f>$B$22</f>
        <v/>
      </c>
      <c r="AQ91" s="24">
        <f>$B$22</f>
        <v/>
      </c>
      <c r="AR91" s="24">
        <f>$B$22</f>
        <v/>
      </c>
      <c r="AS91" s="24">
        <f>$B$22</f>
        <v/>
      </c>
      <c r="AT91" s="24">
        <f>$B$22</f>
        <v/>
      </c>
      <c r="AU91" s="24">
        <f>$B$22</f>
        <v/>
      </c>
      <c r="AV91" s="24">
        <f>$B$22</f>
        <v/>
      </c>
      <c r="AW91" s="24">
        <f>$B$22</f>
        <v/>
      </c>
      <c r="AX91" s="24">
        <f>$B$22</f>
        <v/>
      </c>
      <c r="AY91" s="24">
        <f>$B$22</f>
        <v/>
      </c>
      <c r="AZ91" s="24">
        <f>$B$22</f>
        <v/>
      </c>
      <c r="BA91" s="24">
        <f>$B$22</f>
        <v/>
      </c>
      <c r="BB91" s="24">
        <f>$B$22</f>
        <v/>
      </c>
    </row>
    <row r="92">
      <c r="A92" s="21" t="inlineStr">
        <is>
          <t xml:space="preserve">  room left</t>
        </is>
      </c>
      <c r="B92" s="4" t="inlineStr"/>
      <c r="C92" s="24">
        <f>$B$22-C89</f>
        <v/>
      </c>
      <c r="D92" s="24">
        <f>$B$22-D89</f>
        <v/>
      </c>
      <c r="E92" s="24">
        <f>$B$22-E89</f>
        <v/>
      </c>
      <c r="F92" s="24">
        <f>$B$22-F89</f>
        <v/>
      </c>
      <c r="G92" s="24">
        <f>$B$22-G89</f>
        <v/>
      </c>
      <c r="H92" s="24">
        <f>$B$22-H89</f>
        <v/>
      </c>
      <c r="I92" s="24">
        <f>$B$22-I89</f>
        <v/>
      </c>
      <c r="J92" s="24">
        <f>$B$22-J89</f>
        <v/>
      </c>
      <c r="K92" s="24">
        <f>$B$22-K89</f>
        <v/>
      </c>
      <c r="L92" s="24">
        <f>$B$22-L89</f>
        <v/>
      </c>
      <c r="M92" s="24">
        <f>$B$22-M89</f>
        <v/>
      </c>
      <c r="N92" s="24">
        <f>$B$22-N89</f>
        <v/>
      </c>
      <c r="O92" s="24">
        <f>$B$22-O89</f>
        <v/>
      </c>
      <c r="P92" s="24">
        <f>$B$22-P89</f>
        <v/>
      </c>
      <c r="Q92" s="24">
        <f>$B$22-Q89</f>
        <v/>
      </c>
      <c r="R92" s="24">
        <f>$B$22-R89</f>
        <v/>
      </c>
      <c r="S92" s="24">
        <f>$B$22-S89</f>
        <v/>
      </c>
      <c r="T92" s="24">
        <f>$B$22-T89</f>
        <v/>
      </c>
      <c r="U92" s="24">
        <f>$B$22-U89</f>
        <v/>
      </c>
      <c r="V92" s="24">
        <f>$B$22-V89</f>
        <v/>
      </c>
      <c r="W92" s="24">
        <f>$B$22-W89</f>
        <v/>
      </c>
      <c r="X92" s="24">
        <f>$B$22-X89</f>
        <v/>
      </c>
      <c r="Y92" s="24">
        <f>$B$22-Y89</f>
        <v/>
      </c>
      <c r="Z92" s="24">
        <f>$B$22-Z89</f>
        <v/>
      </c>
      <c r="AA92" s="24">
        <f>$B$22-AA89</f>
        <v/>
      </c>
      <c r="AB92" s="24">
        <f>$B$22-AB89</f>
        <v/>
      </c>
      <c r="AC92" s="24">
        <f>$B$22-AC89</f>
        <v/>
      </c>
      <c r="AD92" s="24">
        <f>$B$22-AD89</f>
        <v/>
      </c>
      <c r="AE92" s="24">
        <f>$B$22-AE89</f>
        <v/>
      </c>
      <c r="AF92" s="24">
        <f>$B$22-AF89</f>
        <v/>
      </c>
      <c r="AG92" s="24">
        <f>$B$22-AG89</f>
        <v/>
      </c>
      <c r="AH92" s="24">
        <f>$B$22-AH89</f>
        <v/>
      </c>
      <c r="AI92" s="24">
        <f>$B$22-AI89</f>
        <v/>
      </c>
      <c r="AJ92" s="24">
        <f>$B$22-AJ89</f>
        <v/>
      </c>
      <c r="AK92" s="24">
        <f>$B$22-AK89</f>
        <v/>
      </c>
      <c r="AL92" s="24">
        <f>$B$22-AL89</f>
        <v/>
      </c>
      <c r="AM92" s="24">
        <f>$B$22-AM89</f>
        <v/>
      </c>
      <c r="AN92" s="24">
        <f>$B$22-AN89</f>
        <v/>
      </c>
      <c r="AO92" s="24">
        <f>$B$22-AO89</f>
        <v/>
      </c>
      <c r="AP92" s="24">
        <f>$B$22-AP89</f>
        <v/>
      </c>
      <c r="AQ92" s="24">
        <f>$B$22-AQ89</f>
        <v/>
      </c>
      <c r="AR92" s="24">
        <f>$B$22-AR89</f>
        <v/>
      </c>
      <c r="AS92" s="24">
        <f>$B$22-AS89</f>
        <v/>
      </c>
      <c r="AT92" s="24">
        <f>$B$22-AT89</f>
        <v/>
      </c>
      <c r="AU92" s="24">
        <f>$B$22-AU89</f>
        <v/>
      </c>
      <c r="AV92" s="24">
        <f>$B$22-AV89</f>
        <v/>
      </c>
      <c r="AW92" s="24">
        <f>$B$22-AW89</f>
        <v/>
      </c>
      <c r="AX92" s="24">
        <f>$B$22-AX89</f>
        <v/>
      </c>
      <c r="AY92" s="24">
        <f>$B$22-AY89</f>
        <v/>
      </c>
      <c r="AZ92" s="24">
        <f>$B$22-AZ89</f>
        <v/>
      </c>
      <c r="BA92" s="24">
        <f>$B$22-BA89</f>
        <v/>
      </c>
      <c r="BB92" s="24">
        <f>$B$22-BB89</f>
        <v/>
      </c>
    </row>
    <row r="93">
      <c r="A93" s="4" t="inlineStr">
        <is>
          <t xml:space="preserve">   Holds Spinach, Kale. A RED cell is not a warning — the app refuses the plan.</t>
        </is>
      </c>
    </row>
    <row r="95">
      <c r="A95" s="18" t="inlineStr">
        <is>
          <t>Week</t>
        </is>
      </c>
      <c r="B95" s="19" t="inlineStr">
        <is>
          <t>m3</t>
        </is>
      </c>
      <c r="C95" s="20" t="n">
        <v>1</v>
      </c>
      <c r="D95" s="20" t="n">
        <v>2</v>
      </c>
      <c r="E95" s="20" t="n">
        <v>3</v>
      </c>
      <c r="F95" s="20" t="n">
        <v>4</v>
      </c>
      <c r="G95" s="20" t="n">
        <v>5</v>
      </c>
      <c r="H95" s="20" t="n">
        <v>6</v>
      </c>
      <c r="I95" s="20" t="n">
        <v>7</v>
      </c>
      <c r="J95" s="20" t="n">
        <v>8</v>
      </c>
      <c r="K95" s="20" t="n">
        <v>9</v>
      </c>
      <c r="L95" s="20" t="n">
        <v>10</v>
      </c>
      <c r="M95" s="20" t="n">
        <v>11</v>
      </c>
      <c r="N95" s="20" t="n">
        <v>12</v>
      </c>
      <c r="O95" s="20" t="n">
        <v>13</v>
      </c>
      <c r="P95" s="20" t="n">
        <v>14</v>
      </c>
      <c r="Q95" s="20" t="n">
        <v>15</v>
      </c>
      <c r="R95" s="20" t="n">
        <v>16</v>
      </c>
      <c r="S95" s="20" t="n">
        <v>17</v>
      </c>
      <c r="T95" s="20" t="n">
        <v>18</v>
      </c>
      <c r="U95" s="20" t="n">
        <v>19</v>
      </c>
      <c r="V95" s="20" t="n">
        <v>20</v>
      </c>
      <c r="W95" s="20" t="n">
        <v>21</v>
      </c>
      <c r="X95" s="20" t="n">
        <v>22</v>
      </c>
      <c r="Y95" s="20" t="n">
        <v>23</v>
      </c>
      <c r="Z95" s="20" t="n">
        <v>24</v>
      </c>
      <c r="AA95" s="20" t="n">
        <v>25</v>
      </c>
      <c r="AB95" s="20" t="n">
        <v>26</v>
      </c>
      <c r="AC95" s="20" t="n">
        <v>27</v>
      </c>
      <c r="AD95" s="20" t="n">
        <v>28</v>
      </c>
      <c r="AE95" s="20" t="n">
        <v>29</v>
      </c>
      <c r="AF95" s="20" t="n">
        <v>30</v>
      </c>
      <c r="AG95" s="20" t="n">
        <v>31</v>
      </c>
      <c r="AH95" s="20" t="n">
        <v>32</v>
      </c>
      <c r="AI95" s="20" t="n">
        <v>33</v>
      </c>
      <c r="AJ95" s="20" t="n">
        <v>34</v>
      </c>
      <c r="AK95" s="20" t="n">
        <v>35</v>
      </c>
      <c r="AL95" s="20" t="n">
        <v>36</v>
      </c>
      <c r="AM95" s="20" t="n">
        <v>37</v>
      </c>
      <c r="AN95" s="20" t="n">
        <v>38</v>
      </c>
      <c r="AO95" s="20" t="n">
        <v>39</v>
      </c>
      <c r="AP95" s="20" t="n">
        <v>40</v>
      </c>
      <c r="AQ95" s="20" t="n">
        <v>41</v>
      </c>
      <c r="AR95" s="20" t="n">
        <v>42</v>
      </c>
      <c r="AS95" s="20" t="n">
        <v>43</v>
      </c>
      <c r="AT95" s="20" t="n">
        <v>44</v>
      </c>
      <c r="AU95" s="20" t="n">
        <v>45</v>
      </c>
      <c r="AV95" s="20" t="n">
        <v>46</v>
      </c>
      <c r="AW95" s="20" t="n">
        <v>47</v>
      </c>
      <c r="AX95" s="20" t="n">
        <v>48</v>
      </c>
      <c r="AY95" s="20" t="n">
        <v>49</v>
      </c>
      <c r="AZ95" s="20" t="n">
        <v>50</v>
      </c>
      <c r="BA95" s="20" t="n">
        <v>51</v>
      </c>
      <c r="BB95" s="20" t="n">
        <v>52</v>
      </c>
    </row>
    <row r="96">
      <c r="A96" s="31" t="inlineStr">
        <is>
          <t>AMBIENT STORE</t>
        </is>
      </c>
      <c r="B96" s="4" t="inlineStr">
        <is>
          <t>used</t>
        </is>
      </c>
      <c r="C96" s="29">
        <f>C81</f>
        <v/>
      </c>
      <c r="D96" s="29">
        <f>D81</f>
        <v/>
      </c>
      <c r="E96" s="29">
        <f>E81</f>
        <v/>
      </c>
      <c r="F96" s="29">
        <f>F81</f>
        <v/>
      </c>
      <c r="G96" s="29">
        <f>G81</f>
        <v/>
      </c>
      <c r="H96" s="29">
        <f>H81</f>
        <v/>
      </c>
      <c r="I96" s="29">
        <f>I81</f>
        <v/>
      </c>
      <c r="J96" s="29">
        <f>J81</f>
        <v/>
      </c>
      <c r="K96" s="29">
        <f>K81</f>
        <v/>
      </c>
      <c r="L96" s="29">
        <f>L81</f>
        <v/>
      </c>
      <c r="M96" s="29">
        <f>M81</f>
        <v/>
      </c>
      <c r="N96" s="29">
        <f>N81</f>
        <v/>
      </c>
      <c r="O96" s="29">
        <f>O81</f>
        <v/>
      </c>
      <c r="P96" s="29">
        <f>P81</f>
        <v/>
      </c>
      <c r="Q96" s="29">
        <f>Q81</f>
        <v/>
      </c>
      <c r="R96" s="29">
        <f>R81</f>
        <v/>
      </c>
      <c r="S96" s="29">
        <f>S81</f>
        <v/>
      </c>
      <c r="T96" s="29">
        <f>T81</f>
        <v/>
      </c>
      <c r="U96" s="29">
        <f>U81</f>
        <v/>
      </c>
      <c r="V96" s="29">
        <f>V81</f>
        <v/>
      </c>
      <c r="W96" s="29">
        <f>W81</f>
        <v/>
      </c>
      <c r="X96" s="29">
        <f>X81</f>
        <v/>
      </c>
      <c r="Y96" s="29">
        <f>Y81</f>
        <v/>
      </c>
      <c r="Z96" s="29">
        <f>Z81</f>
        <v/>
      </c>
      <c r="AA96" s="29">
        <f>AA81</f>
        <v/>
      </c>
      <c r="AB96" s="29">
        <f>AB81</f>
        <v/>
      </c>
      <c r="AC96" s="29">
        <f>AC81</f>
        <v/>
      </c>
      <c r="AD96" s="29">
        <f>AD81</f>
        <v/>
      </c>
      <c r="AE96" s="29">
        <f>AE81</f>
        <v/>
      </c>
      <c r="AF96" s="29">
        <f>AF81</f>
        <v/>
      </c>
      <c r="AG96" s="29">
        <f>AG81</f>
        <v/>
      </c>
      <c r="AH96" s="29">
        <f>AH81</f>
        <v/>
      </c>
      <c r="AI96" s="29">
        <f>AI81</f>
        <v/>
      </c>
      <c r="AJ96" s="29">
        <f>AJ81</f>
        <v/>
      </c>
      <c r="AK96" s="29">
        <f>AK81</f>
        <v/>
      </c>
      <c r="AL96" s="29">
        <f>AL81</f>
        <v/>
      </c>
      <c r="AM96" s="29">
        <f>AM81</f>
        <v/>
      </c>
      <c r="AN96" s="29">
        <f>AN81</f>
        <v/>
      </c>
      <c r="AO96" s="29">
        <f>AO81</f>
        <v/>
      </c>
      <c r="AP96" s="29">
        <f>AP81</f>
        <v/>
      </c>
      <c r="AQ96" s="29">
        <f>AQ81</f>
        <v/>
      </c>
      <c r="AR96" s="29">
        <f>AR81</f>
        <v/>
      </c>
      <c r="AS96" s="29">
        <f>AS81</f>
        <v/>
      </c>
      <c r="AT96" s="29">
        <f>AT81</f>
        <v/>
      </c>
      <c r="AU96" s="29">
        <f>AU81</f>
        <v/>
      </c>
      <c r="AV96" s="29">
        <f>AV81</f>
        <v/>
      </c>
      <c r="AW96" s="29">
        <f>AW81</f>
        <v/>
      </c>
      <c r="AX96" s="29">
        <f>AX81</f>
        <v/>
      </c>
      <c r="AY96" s="29">
        <f>AY81</f>
        <v/>
      </c>
      <c r="AZ96" s="29">
        <f>AZ81</f>
        <v/>
      </c>
      <c r="BA96" s="29">
        <f>BA81</f>
        <v/>
      </c>
      <c r="BB96" s="29">
        <f>BB81</f>
        <v/>
      </c>
    </row>
    <row r="97">
      <c r="A97" s="3" t="inlineStr"/>
      <c r="B97" s="4" t="inlineStr"/>
      <c r="C97" s="25" t="inlineStr">
        <is>
          <t>&lt;=</t>
        </is>
      </c>
      <c r="D97" s="25" t="inlineStr">
        <is>
          <t>&lt;=</t>
        </is>
      </c>
      <c r="E97" s="25" t="inlineStr">
        <is>
          <t>&lt;=</t>
        </is>
      </c>
      <c r="F97" s="25" t="inlineStr">
        <is>
          <t>&lt;=</t>
        </is>
      </c>
      <c r="G97" s="25" t="inlineStr">
        <is>
          <t>&lt;=</t>
        </is>
      </c>
      <c r="H97" s="25" t="inlineStr">
        <is>
          <t>&lt;=</t>
        </is>
      </c>
      <c r="I97" s="25" t="inlineStr">
        <is>
          <t>&lt;=</t>
        </is>
      </c>
      <c r="J97" s="25" t="inlineStr">
        <is>
          <t>&lt;=</t>
        </is>
      </c>
      <c r="K97" s="25" t="inlineStr">
        <is>
          <t>&lt;=</t>
        </is>
      </c>
      <c r="L97" s="25" t="inlineStr">
        <is>
          <t>&lt;=</t>
        </is>
      </c>
      <c r="M97" s="25" t="inlineStr">
        <is>
          <t>&lt;=</t>
        </is>
      </c>
      <c r="N97" s="25" t="inlineStr">
        <is>
          <t>&lt;=</t>
        </is>
      </c>
      <c r="O97" s="25" t="inlineStr">
        <is>
          <t>&lt;=</t>
        </is>
      </c>
      <c r="P97" s="25" t="inlineStr">
        <is>
          <t>&lt;=</t>
        </is>
      </c>
      <c r="Q97" s="25" t="inlineStr">
        <is>
          <t>&lt;=</t>
        </is>
      </c>
      <c r="R97" s="25" t="inlineStr">
        <is>
          <t>&lt;=</t>
        </is>
      </c>
      <c r="S97" s="25" t="inlineStr">
        <is>
          <t>&lt;=</t>
        </is>
      </c>
      <c r="T97" s="25" t="inlineStr">
        <is>
          <t>&lt;=</t>
        </is>
      </c>
      <c r="U97" s="25" t="inlineStr">
        <is>
          <t>&lt;=</t>
        </is>
      </c>
      <c r="V97" s="25" t="inlineStr">
        <is>
          <t>&lt;=</t>
        </is>
      </c>
      <c r="W97" s="25" t="inlineStr">
        <is>
          <t>&lt;=</t>
        </is>
      </c>
      <c r="X97" s="25" t="inlineStr">
        <is>
          <t>&lt;=</t>
        </is>
      </c>
      <c r="Y97" s="25" t="inlineStr">
        <is>
          <t>&lt;=</t>
        </is>
      </c>
      <c r="Z97" s="25" t="inlineStr">
        <is>
          <t>&lt;=</t>
        </is>
      </c>
      <c r="AA97" s="25" t="inlineStr">
        <is>
          <t>&lt;=</t>
        </is>
      </c>
      <c r="AB97" s="25" t="inlineStr">
        <is>
          <t>&lt;=</t>
        </is>
      </c>
      <c r="AC97" s="25" t="inlineStr">
        <is>
          <t>&lt;=</t>
        </is>
      </c>
      <c r="AD97" s="25" t="inlineStr">
        <is>
          <t>&lt;=</t>
        </is>
      </c>
      <c r="AE97" s="25" t="inlineStr">
        <is>
          <t>&lt;=</t>
        </is>
      </c>
      <c r="AF97" s="25" t="inlineStr">
        <is>
          <t>&lt;=</t>
        </is>
      </c>
      <c r="AG97" s="25" t="inlineStr">
        <is>
          <t>&lt;=</t>
        </is>
      </c>
      <c r="AH97" s="25" t="inlineStr">
        <is>
          <t>&lt;=</t>
        </is>
      </c>
      <c r="AI97" s="25" t="inlineStr">
        <is>
          <t>&lt;=</t>
        </is>
      </c>
      <c r="AJ97" s="25" t="inlineStr">
        <is>
          <t>&lt;=</t>
        </is>
      </c>
      <c r="AK97" s="25" t="inlineStr">
        <is>
          <t>&lt;=</t>
        </is>
      </c>
      <c r="AL97" s="25" t="inlineStr">
        <is>
          <t>&lt;=</t>
        </is>
      </c>
      <c r="AM97" s="25" t="inlineStr">
        <is>
          <t>&lt;=</t>
        </is>
      </c>
      <c r="AN97" s="25" t="inlineStr">
        <is>
          <t>&lt;=</t>
        </is>
      </c>
      <c r="AO97" s="25" t="inlineStr">
        <is>
          <t>&lt;=</t>
        </is>
      </c>
      <c r="AP97" s="25" t="inlineStr">
        <is>
          <t>&lt;=</t>
        </is>
      </c>
      <c r="AQ97" s="25" t="inlineStr">
        <is>
          <t>&lt;=</t>
        </is>
      </c>
      <c r="AR97" s="25" t="inlineStr">
        <is>
          <t>&lt;=</t>
        </is>
      </c>
      <c r="AS97" s="25" t="inlineStr">
        <is>
          <t>&lt;=</t>
        </is>
      </c>
      <c r="AT97" s="25" t="inlineStr">
        <is>
          <t>&lt;=</t>
        </is>
      </c>
      <c r="AU97" s="25" t="inlineStr">
        <is>
          <t>&lt;=</t>
        </is>
      </c>
      <c r="AV97" s="25" t="inlineStr">
        <is>
          <t>&lt;=</t>
        </is>
      </c>
      <c r="AW97" s="25" t="inlineStr">
        <is>
          <t>&lt;=</t>
        </is>
      </c>
      <c r="AX97" s="25" t="inlineStr">
        <is>
          <t>&lt;=</t>
        </is>
      </c>
      <c r="AY97" s="25" t="inlineStr">
        <is>
          <t>&lt;=</t>
        </is>
      </c>
      <c r="AZ97" s="25" t="inlineStr">
        <is>
          <t>&lt;=</t>
        </is>
      </c>
      <c r="BA97" s="25" t="inlineStr">
        <is>
          <t>&lt;=</t>
        </is>
      </c>
      <c r="BB97" s="25" t="inlineStr">
        <is>
          <t>&lt;=</t>
        </is>
      </c>
    </row>
    <row r="98">
      <c r="A98" s="3" t="inlineStr">
        <is>
          <t xml:space="preserve">  limit</t>
        </is>
      </c>
      <c r="B98" s="4" t="inlineStr">
        <is>
          <t>cap</t>
        </is>
      </c>
      <c r="C98" s="24">
        <f>$B$23</f>
        <v/>
      </c>
      <c r="D98" s="24">
        <f>$B$23</f>
        <v/>
      </c>
      <c r="E98" s="24">
        <f>$B$23</f>
        <v/>
      </c>
      <c r="F98" s="24">
        <f>$B$23</f>
        <v/>
      </c>
      <c r="G98" s="24">
        <f>$B$23</f>
        <v/>
      </c>
      <c r="H98" s="24">
        <f>$B$23</f>
        <v/>
      </c>
      <c r="I98" s="24">
        <f>$B$23</f>
        <v/>
      </c>
      <c r="J98" s="24">
        <f>$B$23</f>
        <v/>
      </c>
      <c r="K98" s="24">
        <f>$B$23</f>
        <v/>
      </c>
      <c r="L98" s="24">
        <f>$B$23</f>
        <v/>
      </c>
      <c r="M98" s="24">
        <f>$B$23</f>
        <v/>
      </c>
      <c r="N98" s="24">
        <f>$B$23</f>
        <v/>
      </c>
      <c r="O98" s="24">
        <f>$B$23</f>
        <v/>
      </c>
      <c r="P98" s="24">
        <f>$B$23</f>
        <v/>
      </c>
      <c r="Q98" s="24">
        <f>$B$23</f>
        <v/>
      </c>
      <c r="R98" s="24">
        <f>$B$23</f>
        <v/>
      </c>
      <c r="S98" s="24">
        <f>$B$23</f>
        <v/>
      </c>
      <c r="T98" s="24">
        <f>$B$23</f>
        <v/>
      </c>
      <c r="U98" s="24">
        <f>$B$23</f>
        <v/>
      </c>
      <c r="V98" s="24">
        <f>$B$23</f>
        <v/>
      </c>
      <c r="W98" s="24">
        <f>$B$23</f>
        <v/>
      </c>
      <c r="X98" s="24">
        <f>$B$23</f>
        <v/>
      </c>
      <c r="Y98" s="24">
        <f>$B$23</f>
        <v/>
      </c>
      <c r="Z98" s="24">
        <f>$B$23</f>
        <v/>
      </c>
      <c r="AA98" s="24">
        <f>$B$23</f>
        <v/>
      </c>
      <c r="AB98" s="24">
        <f>$B$23</f>
        <v/>
      </c>
      <c r="AC98" s="24">
        <f>$B$23</f>
        <v/>
      </c>
      <c r="AD98" s="24">
        <f>$B$23</f>
        <v/>
      </c>
      <c r="AE98" s="24">
        <f>$B$23</f>
        <v/>
      </c>
      <c r="AF98" s="24">
        <f>$B$23</f>
        <v/>
      </c>
      <c r="AG98" s="24">
        <f>$B$23</f>
        <v/>
      </c>
      <c r="AH98" s="24">
        <f>$B$23</f>
        <v/>
      </c>
      <c r="AI98" s="24">
        <f>$B$23</f>
        <v/>
      </c>
      <c r="AJ98" s="24">
        <f>$B$23</f>
        <v/>
      </c>
      <c r="AK98" s="24">
        <f>$B$23</f>
        <v/>
      </c>
      <c r="AL98" s="24">
        <f>$B$23</f>
        <v/>
      </c>
      <c r="AM98" s="24">
        <f>$B$23</f>
        <v/>
      </c>
      <c r="AN98" s="24">
        <f>$B$23</f>
        <v/>
      </c>
      <c r="AO98" s="24">
        <f>$B$23</f>
        <v/>
      </c>
      <c r="AP98" s="24">
        <f>$B$23</f>
        <v/>
      </c>
      <c r="AQ98" s="24">
        <f>$B$23</f>
        <v/>
      </c>
      <c r="AR98" s="24">
        <f>$B$23</f>
        <v/>
      </c>
      <c r="AS98" s="24">
        <f>$B$23</f>
        <v/>
      </c>
      <c r="AT98" s="24">
        <f>$B$23</f>
        <v/>
      </c>
      <c r="AU98" s="24">
        <f>$B$23</f>
        <v/>
      </c>
      <c r="AV98" s="24">
        <f>$B$23</f>
        <v/>
      </c>
      <c r="AW98" s="24">
        <f>$B$23</f>
        <v/>
      </c>
      <c r="AX98" s="24">
        <f>$B$23</f>
        <v/>
      </c>
      <c r="AY98" s="24">
        <f>$B$23</f>
        <v/>
      </c>
      <c r="AZ98" s="24">
        <f>$B$23</f>
        <v/>
      </c>
      <c r="BA98" s="24">
        <f>$B$23</f>
        <v/>
      </c>
      <c r="BB98" s="24">
        <f>$B$23</f>
        <v/>
      </c>
    </row>
    <row r="99">
      <c r="A99" s="21" t="inlineStr">
        <is>
          <t xml:space="preserve">  room left</t>
        </is>
      </c>
      <c r="B99" s="4" t="inlineStr"/>
      <c r="C99" s="24">
        <f>$B$23-C96</f>
        <v/>
      </c>
      <c r="D99" s="24">
        <f>$B$23-D96</f>
        <v/>
      </c>
      <c r="E99" s="24">
        <f>$B$23-E96</f>
        <v/>
      </c>
      <c r="F99" s="24">
        <f>$B$23-F96</f>
        <v/>
      </c>
      <c r="G99" s="24">
        <f>$B$23-G96</f>
        <v/>
      </c>
      <c r="H99" s="24">
        <f>$B$23-H96</f>
        <v/>
      </c>
      <c r="I99" s="24">
        <f>$B$23-I96</f>
        <v/>
      </c>
      <c r="J99" s="24">
        <f>$B$23-J96</f>
        <v/>
      </c>
      <c r="K99" s="24">
        <f>$B$23-K96</f>
        <v/>
      </c>
      <c r="L99" s="24">
        <f>$B$23-L96</f>
        <v/>
      </c>
      <c r="M99" s="24">
        <f>$B$23-M96</f>
        <v/>
      </c>
      <c r="N99" s="24">
        <f>$B$23-N96</f>
        <v/>
      </c>
      <c r="O99" s="24">
        <f>$B$23-O96</f>
        <v/>
      </c>
      <c r="P99" s="24">
        <f>$B$23-P96</f>
        <v/>
      </c>
      <c r="Q99" s="24">
        <f>$B$23-Q96</f>
        <v/>
      </c>
      <c r="R99" s="24">
        <f>$B$23-R96</f>
        <v/>
      </c>
      <c r="S99" s="24">
        <f>$B$23-S96</f>
        <v/>
      </c>
      <c r="T99" s="24">
        <f>$B$23-T96</f>
        <v/>
      </c>
      <c r="U99" s="24">
        <f>$B$23-U96</f>
        <v/>
      </c>
      <c r="V99" s="24">
        <f>$B$23-V96</f>
        <v/>
      </c>
      <c r="W99" s="24">
        <f>$B$23-W96</f>
        <v/>
      </c>
      <c r="X99" s="24">
        <f>$B$23-X96</f>
        <v/>
      </c>
      <c r="Y99" s="24">
        <f>$B$23-Y96</f>
        <v/>
      </c>
      <c r="Z99" s="24">
        <f>$B$23-Z96</f>
        <v/>
      </c>
      <c r="AA99" s="24">
        <f>$B$23-AA96</f>
        <v/>
      </c>
      <c r="AB99" s="24">
        <f>$B$23-AB96</f>
        <v/>
      </c>
      <c r="AC99" s="24">
        <f>$B$23-AC96</f>
        <v/>
      </c>
      <c r="AD99" s="24">
        <f>$B$23-AD96</f>
        <v/>
      </c>
      <c r="AE99" s="24">
        <f>$B$23-AE96</f>
        <v/>
      </c>
      <c r="AF99" s="24">
        <f>$B$23-AF96</f>
        <v/>
      </c>
      <c r="AG99" s="24">
        <f>$B$23-AG96</f>
        <v/>
      </c>
      <c r="AH99" s="24">
        <f>$B$23-AH96</f>
        <v/>
      </c>
      <c r="AI99" s="24">
        <f>$B$23-AI96</f>
        <v/>
      </c>
      <c r="AJ99" s="24">
        <f>$B$23-AJ96</f>
        <v/>
      </c>
      <c r="AK99" s="24">
        <f>$B$23-AK96</f>
        <v/>
      </c>
      <c r="AL99" s="24">
        <f>$B$23-AL96</f>
        <v/>
      </c>
      <c r="AM99" s="24">
        <f>$B$23-AM96</f>
        <v/>
      </c>
      <c r="AN99" s="24">
        <f>$B$23-AN96</f>
        <v/>
      </c>
      <c r="AO99" s="24">
        <f>$B$23-AO96</f>
        <v/>
      </c>
      <c r="AP99" s="24">
        <f>$B$23-AP96</f>
        <v/>
      </c>
      <c r="AQ99" s="24">
        <f>$B$23-AQ96</f>
        <v/>
      </c>
      <c r="AR99" s="24">
        <f>$B$23-AR96</f>
        <v/>
      </c>
      <c r="AS99" s="24">
        <f>$B$23-AS96</f>
        <v/>
      </c>
      <c r="AT99" s="24">
        <f>$B$23-AT96</f>
        <v/>
      </c>
      <c r="AU99" s="24">
        <f>$B$23-AU96</f>
        <v/>
      </c>
      <c r="AV99" s="24">
        <f>$B$23-AV96</f>
        <v/>
      </c>
      <c r="AW99" s="24">
        <f>$B$23-AW96</f>
        <v/>
      </c>
      <c r="AX99" s="24">
        <f>$B$23-AX96</f>
        <v/>
      </c>
      <c r="AY99" s="24">
        <f>$B$23-AY96</f>
        <v/>
      </c>
      <c r="AZ99" s="24">
        <f>$B$23-AZ96</f>
        <v/>
      </c>
      <c r="BA99" s="24">
        <f>$B$23-BA96</f>
        <v/>
      </c>
      <c r="BB99" s="24">
        <f>$B$23-BB96</f>
        <v/>
      </c>
    </row>
    <row r="100">
      <c r="A100" s="4" t="inlineStr">
        <is>
          <t xml:space="preserve">   Holds Garlic. A RED cell is not a warning — the app refuses the plan.</t>
        </is>
      </c>
    </row>
    <row r="102">
      <c r="A102" s="2" t="inlineStr">
        <is>
          <t>6 — WHAT THIS PLAN DOES</t>
        </is>
      </c>
    </row>
    <row r="103">
      <c r="A103" s="3" t="inlineStr">
        <is>
          <t>Peak COLD store used</t>
        </is>
      </c>
      <c r="B103" s="10">
        <f>MAX(C89:BB89)</f>
        <v/>
      </c>
      <c r="C103" s="4" t="inlineStr">
        <is>
          <t>m3   against a 275 m3 cooler</t>
        </is>
      </c>
    </row>
    <row r="104">
      <c r="A104" s="3" t="inlineStr">
        <is>
          <t>Weeks the cooler overflows</t>
        </is>
      </c>
      <c r="B104" s="32">
        <f>COUNTIF(C92:BB92,"&lt;0")</f>
        <v/>
      </c>
      <c r="C104" s="4" t="inlineStr">
        <is>
          <t>weeks out of 52</t>
        </is>
      </c>
    </row>
    <row r="105">
      <c r="A105" s="3" t="inlineStr">
        <is>
          <t>Peak AMBIENT store used</t>
        </is>
      </c>
      <c r="B105" s="10">
        <f>MAX(C96:BB96)</f>
        <v/>
      </c>
      <c r="C105" s="4" t="inlineStr">
        <is>
          <t>m3   against a 150 m3 barn</t>
        </is>
      </c>
    </row>
    <row r="106">
      <c r="A106" s="3" t="inlineStr">
        <is>
          <t>Weeks the barn overflows</t>
        </is>
      </c>
      <c r="B106" s="32">
        <f>COUNTIF(C99:BB99,"&lt;0")</f>
        <v/>
      </c>
      <c r="C106" s="4" t="inlineStr">
        <is>
          <t>weeks out of 52</t>
        </is>
      </c>
    </row>
    <row r="108">
      <c r="A108" t="inlineStr">
        <is>
          <t>Spinach — harvested</t>
        </is>
      </c>
      <c r="B108" s="23">
        <f>SUM(C49:BB49)</f>
        <v/>
      </c>
      <c r="C108" s="4" t="inlineStr">
        <is>
          <t>lb sellable</t>
        </is>
      </c>
    </row>
    <row r="109">
      <c r="A109" t="inlineStr">
        <is>
          <t>Spinach — sold</t>
        </is>
      </c>
      <c r="B109" s="23">
        <f>SUM(C53:BB53)</f>
        <v/>
      </c>
      <c r="C109" s="4" t="inlineStr">
        <is>
          <t>lb</t>
        </is>
      </c>
    </row>
    <row r="110">
      <c r="A110" t="inlineStr">
        <is>
          <t>Spinach — lost to shrink</t>
        </is>
      </c>
      <c r="B110" s="23">
        <f>SUM(C51:BB51)</f>
        <v/>
      </c>
      <c r="C110" s="4" t="inlineStr">
        <is>
          <t>lb</t>
        </is>
      </c>
    </row>
    <row r="111">
      <c r="A111" t="inlineStr">
        <is>
          <t>Spinach — left at year end</t>
        </is>
      </c>
      <c r="B111" s="23">
        <f>BB54</f>
        <v/>
      </c>
      <c r="C111" s="4" t="inlineStr">
        <is>
          <t>lb  (the app anchors stock at zero on 1 Jan, so this is stranded)</t>
        </is>
      </c>
    </row>
    <row r="112">
      <c r="A112" t="inlineStr">
        <is>
          <t>Spinach — over shelf life at worst</t>
        </is>
      </c>
      <c r="B112" s="23">
        <f>MAX(C57:BB57)</f>
        <v/>
      </c>
      <c r="C112" s="4" t="inlineStr">
        <is>
          <t>lb  (WARNING only in this sheet)</t>
        </is>
      </c>
    </row>
    <row r="114">
      <c r="A114" t="inlineStr">
        <is>
          <t>Kale — harvested</t>
        </is>
      </c>
      <c r="B114" s="23">
        <f>SUM(C62:BB62)</f>
        <v/>
      </c>
      <c r="C114" s="4" t="inlineStr">
        <is>
          <t>lb sellable</t>
        </is>
      </c>
    </row>
    <row r="115">
      <c r="A115" t="inlineStr">
        <is>
          <t>Kale — sold</t>
        </is>
      </c>
      <c r="B115" s="23">
        <f>SUM(C66:BB66)</f>
        <v/>
      </c>
      <c r="C115" s="4" t="inlineStr">
        <is>
          <t>lb</t>
        </is>
      </c>
    </row>
    <row r="116">
      <c r="A116" t="inlineStr">
        <is>
          <t>Kale — lost to shrink</t>
        </is>
      </c>
      <c r="B116" s="23">
        <f>SUM(C64:BB64)</f>
        <v/>
      </c>
      <c r="C116" s="4" t="inlineStr">
        <is>
          <t>lb</t>
        </is>
      </c>
    </row>
    <row r="117">
      <c r="A117" t="inlineStr">
        <is>
          <t>Kale — left at year end</t>
        </is>
      </c>
      <c r="B117" s="23">
        <f>BB67</f>
        <v/>
      </c>
      <c r="C117" s="4" t="inlineStr">
        <is>
          <t>lb  (the app anchors stock at zero on 1 Jan, so this is stranded)</t>
        </is>
      </c>
    </row>
    <row r="118">
      <c r="A118" t="inlineStr">
        <is>
          <t>Kale — over shelf life at worst</t>
        </is>
      </c>
      <c r="B118" s="23">
        <f>MAX(C70:BB70)</f>
        <v/>
      </c>
      <c r="C118" s="4" t="inlineStr">
        <is>
          <t>lb  (WARNING only in this sheet)</t>
        </is>
      </c>
    </row>
    <row r="120">
      <c r="A120" t="inlineStr">
        <is>
          <t>Garlic — harvested</t>
        </is>
      </c>
      <c r="B120" s="23">
        <f>SUM(C75:BB75)</f>
        <v/>
      </c>
      <c r="C120" s="4" t="inlineStr">
        <is>
          <t>lb sellable</t>
        </is>
      </c>
    </row>
    <row r="121">
      <c r="A121" t="inlineStr">
        <is>
          <t>Garlic — sold</t>
        </is>
      </c>
      <c r="B121" s="23">
        <f>SUM(C79:BB79)</f>
        <v/>
      </c>
      <c r="C121" s="4" t="inlineStr">
        <is>
          <t>lb</t>
        </is>
      </c>
    </row>
    <row r="122">
      <c r="A122" t="inlineStr">
        <is>
          <t>Garlic — lost to shrink</t>
        </is>
      </c>
      <c r="B122" s="23">
        <f>SUM(C77:BB77)</f>
        <v/>
      </c>
      <c r="C122" s="4" t="inlineStr">
        <is>
          <t>lb</t>
        </is>
      </c>
    </row>
    <row r="123">
      <c r="A123" t="inlineStr">
        <is>
          <t>Garlic — left at year end</t>
        </is>
      </c>
      <c r="B123" s="23">
        <f>BB80</f>
        <v/>
      </c>
      <c r="C123" s="4" t="inlineStr">
        <is>
          <t>lb  (the app anchors stock at zero on 1 Jan, so this is stranded)</t>
        </is>
      </c>
    </row>
    <row r="124">
      <c r="A124" t="inlineStr">
        <is>
          <t>Garlic — over shelf life at worst</t>
        </is>
      </c>
      <c r="B124" s="23">
        <f>MAX(C83:BB83)</f>
        <v/>
      </c>
      <c r="C124" s="4" t="inlineStr">
        <is>
          <t>lb  (WARNING only in this sheet)</t>
        </is>
      </c>
    </row>
  </sheetData>
  <conditionalFormatting sqref="C44:BB44">
    <cfRule type="cellIs" priority="1" operator="lessThan" dxfId="0">
      <formula>0</formula>
    </cfRule>
  </conditionalFormatting>
  <conditionalFormatting sqref="C41:BB41">
    <cfRule type="cellIs" priority="2" operator="greaterThan" dxfId="0">
      <formula>$B$12</formula>
    </cfRule>
  </conditionalFormatting>
  <conditionalFormatting sqref="C92:BB92">
    <cfRule type="cellIs" priority="3" operator="lessThan" dxfId="0">
      <formula>0</formula>
    </cfRule>
  </conditionalFormatting>
  <conditionalFormatting sqref="C89:BB89">
    <cfRule type="cellIs" priority="4" operator="greaterThan" dxfId="0">
      <formula>$B$22</formula>
    </cfRule>
  </conditionalFormatting>
  <conditionalFormatting sqref="C99:BB99">
    <cfRule type="cellIs" priority="5" operator="lessThan" dxfId="0">
      <formula>0</formula>
    </cfRule>
  </conditionalFormatting>
  <conditionalFormatting sqref="C96:BB96">
    <cfRule type="cellIs" priority="6" operator="greaterThan" dxfId="0">
      <formula>$B$23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</cols>
  <sheetData>
    <row r="1">
      <c r="A1" s="1" t="inlineStr">
        <is>
          <t>Crop constants — READ FROM THE APP, not retyped</t>
        </is>
      </c>
    </row>
    <row r="2">
      <c r="A2" s="4" t="inlineStr">
        <is>
          <t>Source: tests/golden/default_farm_payload.json (the payload the browser sends) and farm_v2.utils.calendar.generate_successions (the app's own calendar).</t>
        </is>
      </c>
    </row>
    <row r="3">
      <c r="A3" s="4" t="inlineStr">
        <is>
          <t>Regenerate with:  python3 toy_models/build_toy_v1.py</t>
        </is>
      </c>
    </row>
    <row r="5">
      <c r="A5" s="18" t="inlineStr">
        <is>
          <t>Field</t>
        </is>
      </c>
      <c r="B5" s="18" t="inlineStr">
        <is>
          <t>Spinach</t>
        </is>
      </c>
      <c r="C5" s="18" t="inlineStr">
        <is>
          <t>Kale</t>
        </is>
      </c>
      <c r="D5" s="18" t="inlineStr">
        <is>
          <t>Garlic</t>
        </is>
      </c>
      <c r="E5" s="18" t="inlineStr">
        <is>
          <t>What it means</t>
        </is>
      </c>
    </row>
    <row r="6">
      <c r="A6" s="3" t="inlineStr">
        <is>
          <t>yield_per_acre</t>
        </is>
      </c>
      <c r="B6" t="n">
        <v>5000</v>
      </c>
      <c r="C6" t="n">
        <v>8000</v>
      </c>
      <c r="D6" t="n">
        <v>10000</v>
      </c>
      <c r="E6" s="21" t="inlineStr">
        <is>
          <t>lb of crop per acre, before sell-through</t>
        </is>
      </c>
    </row>
    <row r="7">
      <c r="A7" s="3" t="inlineStr">
        <is>
          <t>crop_size_m3_per_lb</t>
        </is>
      </c>
      <c r="B7" t="n">
        <v>0.002197967741935484</v>
      </c>
      <c r="C7" t="n">
        <v>0.003785388888888889</v>
      </c>
      <c r="D7" t="n">
        <v>0.001195385964912281</v>
      </c>
      <c r="E7" s="21" t="inlineStr">
        <is>
          <t>how much store space one pound takes</t>
        </is>
      </c>
    </row>
    <row r="8">
      <c r="A8" s="3" t="inlineStr">
        <is>
          <t>cold_storage</t>
        </is>
      </c>
      <c r="B8" t="b">
        <v>1</v>
      </c>
      <c r="C8" t="b">
        <v>1</v>
      </c>
      <c r="D8" t="b">
        <v>0</v>
      </c>
      <c r="E8" s="21" t="inlineStr">
        <is>
          <t>TRUE = cooler, FALSE = ambient barn</t>
        </is>
      </c>
    </row>
    <row r="9">
      <c r="A9" s="3" t="inlineStr">
        <is>
          <t>shelf_life_weeks</t>
        </is>
      </c>
      <c r="B9" t="n">
        <v>2</v>
      </c>
      <c r="C9" t="n">
        <v>2</v>
      </c>
      <c r="D9" t="n">
        <v>16</v>
      </c>
      <c r="E9" s="21" t="inlineStr">
        <is>
          <t>weeks it can be SOLD IN, counting its harvest week</t>
        </is>
      </c>
    </row>
    <row r="10">
      <c r="A10" s="3" t="inlineStr">
        <is>
          <t>days_to_maturity</t>
        </is>
      </c>
      <c r="B10" t="n">
        <v>42</v>
      </c>
      <c r="C10" t="n">
        <v>60</v>
      </c>
      <c r="D10" t="n">
        <v>240</v>
      </c>
      <c r="E10" s="21" t="inlineStr">
        <is>
          <t>plant to FIRST harvest (not total field time)</t>
        </is>
      </c>
    </row>
    <row r="11">
      <c r="A11" s="3" t="inlineStr">
        <is>
          <t>planting_weeks</t>
        </is>
      </c>
      <c r="B11" t="n">
        <v>1</v>
      </c>
      <c r="C11" t="n">
        <v>1</v>
      </c>
      <c r="D11" t="n">
        <v>3</v>
      </c>
      <c r="E11" s="21" t="inlineStr">
        <is>
          <t>how long the planting phase lasts</t>
        </is>
      </c>
    </row>
    <row r="12">
      <c r="A12" s="3" t="inlineStr">
        <is>
          <t>harvest_weeks</t>
        </is>
      </c>
      <c r="B12" t="n">
        <v>2</v>
      </c>
      <c r="C12" t="n">
        <v>4</v>
      </c>
      <c r="D12" t="n">
        <v>1</v>
      </c>
      <c r="E12" s="21" t="inlineStr">
        <is>
          <t>how many weeks it is picked over</t>
        </is>
      </c>
    </row>
    <row r="13">
      <c r="A13" s="3" t="inlineStr">
        <is>
          <t>overwinters</t>
        </is>
      </c>
      <c r="B13" t="b">
        <v>0</v>
      </c>
      <c r="C13" t="b">
        <v>0</v>
      </c>
      <c r="D13" t="b">
        <v>1</v>
      </c>
      <c r="E13" s="21" t="inlineStr">
        <is>
          <t>may its cycle run past week 52</t>
        </is>
      </c>
    </row>
    <row r="14">
      <c r="A14" s="3" t="inlineStr">
        <is>
          <t>seasons</t>
        </is>
      </c>
      <c r="B14" t="inlineStr">
        <is>
          <t>02-01-&gt;06-15; 08-01-&gt;11-15</t>
        </is>
      </c>
      <c r="C14" t="inlineStr">
        <is>
          <t>02-01-&gt;06-01; 07-15-&gt;12-01</t>
        </is>
      </c>
      <c r="D14" t="inlineStr">
        <is>
          <t>11-15-&gt;12-01</t>
        </is>
      </c>
      <c r="E14" s="21" t="inlineStr">
        <is>
          <t>the PLANTING window(s) — any start week inside is legal</t>
        </is>
      </c>
    </row>
    <row r="16">
      <c r="A16" s="2" t="inlineStr">
        <is>
          <t>Farm-level</t>
        </is>
      </c>
    </row>
    <row r="17">
      <c r="A17" s="3" t="inlineStr">
        <is>
          <t>total_land</t>
        </is>
      </c>
      <c r="B17" t="n">
        <v>80</v>
      </c>
      <c r="E17" s="21" t="inlineStr">
        <is>
          <t>acres of ground</t>
        </is>
      </c>
    </row>
    <row r="18">
      <c r="A18" s="3" t="inlineStr">
        <is>
          <t>sell_through_fraction</t>
        </is>
      </c>
      <c r="B18" t="n">
        <v>0.85</v>
      </c>
      <c r="E18" s="21" t="inlineStr">
        <is>
          <t>share of harvest that becomes sellable product</t>
        </is>
      </c>
    </row>
    <row r="19">
      <c r="A19" s="3" t="inlineStr">
        <is>
          <t>harvest_storage_cap</t>
        </is>
      </c>
      <c r="B19" t="n">
        <v>275</v>
      </c>
      <c r="E19" s="21" t="inlineStr">
        <is>
          <t>m3 of refrigerated space</t>
        </is>
      </c>
    </row>
    <row r="20">
      <c r="A20" s="3" t="inlineStr">
        <is>
          <t>ambient_storage_cap</t>
        </is>
      </c>
      <c r="B20" t="n">
        <v>150</v>
      </c>
      <c r="E20" s="21" t="inlineStr">
        <is>
          <t>m3 of barn space</t>
        </is>
      </c>
    </row>
    <row r="23">
      <c r="A23" s="2" t="inlineStr">
        <is>
          <t>The 5 plantings on the Model sheet</t>
        </is>
      </c>
    </row>
    <row r="24">
      <c r="A24" s="4" t="inlineStr">
        <is>
          <t>chosen from the 68 the app's generator offers for these three crops</t>
        </is>
      </c>
    </row>
    <row r="25">
      <c r="A25" s="18" t="inlineStr">
        <is>
          <t>Succession</t>
        </is>
      </c>
      <c r="B25" s="18" t="inlineStr">
        <is>
          <t>Crop</t>
        </is>
      </c>
      <c r="C25" s="18" t="inlineStr">
        <is>
          <t>In the ground</t>
        </is>
      </c>
      <c r="D25" s="18" t="inlineStr">
        <is>
          <t>Harvest weeks</t>
        </is>
      </c>
    </row>
    <row r="26">
      <c r="A26" t="inlineStr">
        <is>
          <t>Spinach W10</t>
        </is>
      </c>
      <c r="B26" t="inlineStr">
        <is>
          <t>Spinach</t>
        </is>
      </c>
      <c r="C26" t="inlineStr">
        <is>
          <t>W10 to W17 (8 wk)</t>
        </is>
      </c>
      <c r="D26" t="inlineStr">
        <is>
          <t>W16, W17</t>
        </is>
      </c>
    </row>
    <row r="27">
      <c r="A27" t="inlineStr">
        <is>
          <t>Spinach W34</t>
        </is>
      </c>
      <c r="B27" t="inlineStr">
        <is>
          <t>Spinach</t>
        </is>
      </c>
      <c r="C27" t="inlineStr">
        <is>
          <t>W34 to W41 (8 wk)</t>
        </is>
      </c>
      <c r="D27" t="inlineStr">
        <is>
          <t>W40, W41</t>
        </is>
      </c>
    </row>
    <row r="28">
      <c r="A28" t="inlineStr">
        <is>
          <t>Kale W12</t>
        </is>
      </c>
      <c r="B28" t="inlineStr">
        <is>
          <t>Kale</t>
        </is>
      </c>
      <c r="C28" t="inlineStr">
        <is>
          <t>W12 to W24 (13 wk)</t>
        </is>
      </c>
      <c r="D28" t="inlineStr">
        <is>
          <t>W21, W22, W23, W24</t>
        </is>
      </c>
    </row>
    <row r="29">
      <c r="A29" t="inlineStr">
        <is>
          <t>Kale W32</t>
        </is>
      </c>
      <c r="B29" t="inlineStr">
        <is>
          <t>Kale</t>
        </is>
      </c>
      <c r="C29" t="inlineStr">
        <is>
          <t>W32 to W44 (13 wk)</t>
        </is>
      </c>
      <c r="D29" t="inlineStr">
        <is>
          <t>W41, W42, W43, W44</t>
        </is>
      </c>
    </row>
    <row r="30">
      <c r="A30" t="inlineStr">
        <is>
          <t>Garlic W47</t>
        </is>
      </c>
      <c r="B30" t="inlineStr">
        <is>
          <t>Garlic</t>
        </is>
      </c>
      <c r="C30" t="inlineStr">
        <is>
          <t>W47 to W30 (36 wk)</t>
        </is>
      </c>
      <c r="D30" t="inlineStr">
        <is>
          <t>W30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2026-08-29T07:47:47Z</dcterms:created>
  <dcterms:modified xsi:type="dcterms:W3CDTF">2026-08-29T07:47:47Z</dcterms:modified>
</cp:coreProperties>
</file>